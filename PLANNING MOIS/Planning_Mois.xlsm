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TBF\Planning\PLANNING MOIS\"/>
    </mc:Choice>
  </mc:AlternateContent>
  <bookViews>
    <workbookView xWindow="0" yWindow="0" windowWidth="14925" windowHeight="11595" tabRatio="788"/>
  </bookViews>
  <sheets>
    <sheet name="Planning au mois" sheetId="14" r:id="rId1"/>
    <sheet name="Calendrier" sheetId="20" state="hidden" r:id="rId2"/>
    <sheet name="Modele" sheetId="19" r:id="rId3"/>
    <sheet name="ListeChauffeur" sheetId="15" state="hidden" r:id="rId4"/>
    <sheet name="ListeTournées" sheetId="16" state="hidden" r:id="rId5"/>
  </sheets>
  <functionGroups builtInGroupCount="18"/>
  <definedNames>
    <definedName name="an" localSheetId="2">Modele!$M$1</definedName>
    <definedName name="an">#REF!</definedName>
    <definedName name="Calendar10Month">'Planning au mois'!#REF!</definedName>
    <definedName name="Calendar10MonthOption">MATCH(Calendar10Month,Mois,0)</definedName>
    <definedName name="Calendar10Year">'Planning au mois'!#REF!</definedName>
    <definedName name="Calendar1Month">'Planning au mois'!$D$1</definedName>
    <definedName name="Calendar1MonthOption">MATCH(Calendar1Month,Mois,0)</definedName>
    <definedName name="Calendar1Year">'Planning au mois'!$A$1</definedName>
    <definedName name="Calendar2Month">'Planning au mois'!#REF!</definedName>
    <definedName name="Calendar2MonthOption">MATCH(Calendar2Month,Mois,0)</definedName>
    <definedName name="Calendar2Year">'Planning au mois'!#REF!</definedName>
    <definedName name="Calendar3Month">'Planning au mois'!#REF!</definedName>
    <definedName name="Calendar3MonthOption">MATCH(Calendar3Month,Mois,0)</definedName>
    <definedName name="Calendar3Year">'Planning au mois'!#REF!</definedName>
    <definedName name="Calendar4Month">'Planning au mois'!#REF!</definedName>
    <definedName name="Calendar4MonthOption">MATCH(Calendar4Month,Mois,0)</definedName>
    <definedName name="Calendar4Year">'Planning au mois'!#REF!</definedName>
    <definedName name="Calendar5Month">'Planning au mois'!#REF!</definedName>
    <definedName name="Calendar5MonthOption">MATCH(Calendar5Month,Mois,0)</definedName>
    <definedName name="Calendar5Year">'Planning au mois'!#REF!</definedName>
    <definedName name="Calendar6Month">'Planning au mois'!#REF!</definedName>
    <definedName name="Calendar6MonthOption">MATCH(Calendar6Month,Mois,0)</definedName>
    <definedName name="Calendar6Year">'Planning au mois'!#REF!</definedName>
    <definedName name="Calendar7Month">'Planning au mois'!#REF!</definedName>
    <definedName name="Calendar7MonthOption">MATCH(Calendar7Month,Mois,0)</definedName>
    <definedName name="Calendar7Year">'Planning au mois'!#REF!</definedName>
    <definedName name="Calendar8Month">'Planning au mois'!#REF!</definedName>
    <definedName name="Calendar8MonthOption">MATCH(Calendar8Month,Mois,0)</definedName>
    <definedName name="Calendar8Year">'Planning au mois'!#REF!</definedName>
    <definedName name="Calendar9Month">'Planning au mois'!#REF!</definedName>
    <definedName name="Calendar9MonthOption">MATCH(Calendar9Month,Mois,0)</definedName>
    <definedName name="Calendar9Year">'Planning au mois'!#REF!</definedName>
    <definedName name="Jours">{0,1,2,3,4,5,6}</definedName>
    <definedName name="Joursdesemaine">{"lundi","mardi","mercredi","jeudi","vendredi","samedi","dimanche"}</definedName>
    <definedName name="Mois">{"janvier","février","mars","avril","mai","juin","juillet","août","septembre","octobre","novembre","décembre"}</definedName>
    <definedName name="semn" localSheetId="2">Modele!$H$1</definedName>
    <definedName name="semn">#REF!</definedName>
    <definedName name="WeekdayOption">MATCH(WeekStart,Joursdesemaine,0)+10</definedName>
    <definedName name="WeekStart">'Planning au mois'!$B$3</definedName>
    <definedName name="WeekStartValue">IF(WeekStart="lundi",2,1)</definedName>
    <definedName name="_xlnm.Print_Area" localSheetId="2">Modele!$A$1:$W$23</definedName>
    <definedName name="_xlnm.Print_Area" localSheetId="0">'Planning au mois'!$A$1:$I$33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6" i="19" l="1"/>
  <c r="F13" i="19"/>
  <c r="M1" i="19" l="1"/>
  <c r="D1" i="19" s="1"/>
  <c r="L1" i="19" l="1"/>
  <c r="I1" i="19"/>
  <c r="I5" i="19" l="1"/>
  <c r="J5" i="19"/>
  <c r="V5" i="19"/>
  <c r="I6" i="19"/>
  <c r="J6" i="19"/>
  <c r="V6" i="19"/>
  <c r="I7" i="19"/>
  <c r="J7" i="19"/>
  <c r="V7" i="19"/>
  <c r="I8" i="19"/>
  <c r="J8" i="19"/>
  <c r="V8" i="19"/>
  <c r="I9" i="19"/>
  <c r="J9" i="19"/>
  <c r="V9" i="19"/>
  <c r="I10" i="19"/>
  <c r="J10" i="19"/>
  <c r="V10" i="19"/>
  <c r="I11" i="19"/>
  <c r="J11" i="19"/>
  <c r="V11" i="19"/>
  <c r="V13" i="19" l="1"/>
  <c r="B4" i="14" a="1"/>
  <c r="B4" i="14" s="1"/>
  <c r="B9" i="14" a="1"/>
  <c r="G9" i="14" s="1"/>
  <c r="B14" i="14" a="1"/>
  <c r="D14" i="14" s="1"/>
  <c r="B19" i="14" a="1"/>
  <c r="E19" i="14" s="1"/>
  <c r="B24" i="14" a="1"/>
  <c r="E24" i="14" s="1"/>
  <c r="B29" i="14" a="1"/>
  <c r="B29" i="14" s="1"/>
  <c r="H14" i="14" l="1"/>
  <c r="E4" i="14"/>
  <c r="E3" i="14" s="1"/>
  <c r="F4" i="14"/>
  <c r="F3" i="14" s="1"/>
  <c r="B14" i="14"/>
  <c r="C4" i="14"/>
  <c r="C3" i="14" s="1"/>
  <c r="D4" i="14"/>
  <c r="D3" i="14" s="1"/>
  <c r="D24" i="14"/>
  <c r="E9" i="14"/>
  <c r="H9" i="14"/>
  <c r="C29" i="14"/>
  <c r="C19" i="14"/>
  <c r="B19" i="14"/>
  <c r="F19" i="14"/>
  <c r="G19" i="14"/>
  <c r="D19" i="14"/>
  <c r="H24" i="14"/>
  <c r="C14" i="14"/>
  <c r="G14" i="14"/>
  <c r="E14" i="14"/>
  <c r="F14" i="14"/>
  <c r="H19" i="14"/>
  <c r="F24" i="14"/>
  <c r="B24" i="14"/>
  <c r="G24" i="14"/>
  <c r="C24" i="14"/>
  <c r="H4" i="14"/>
  <c r="H3" i="14" s="1"/>
  <c r="C9" i="14"/>
  <c r="F9" i="14"/>
  <c r="D9" i="14"/>
  <c r="G4" i="14"/>
  <c r="G3" i="14" s="1"/>
  <c r="B9" i="14"/>
</calcChain>
</file>

<file path=xl/sharedStrings.xml><?xml version="1.0" encoding="utf-8"?>
<sst xmlns="http://schemas.openxmlformats.org/spreadsheetml/2006/main" count="619" uniqueCount="516">
  <si>
    <t>REMARQUES</t>
  </si>
  <si>
    <t>LUNDI</t>
  </si>
  <si>
    <t xml:space="preserve"> </t>
  </si>
  <si>
    <t>Réf. Document :</t>
  </si>
  <si>
    <t>Nom du chauffeur</t>
  </si>
  <si>
    <t>Jour</t>
  </si>
  <si>
    <t>H début Service</t>
  </si>
  <si>
    <t>Tournée 1</t>
  </si>
  <si>
    <t>H fin Service</t>
  </si>
  <si>
    <t>Tournée 2</t>
  </si>
  <si>
    <t>Début coupure</t>
  </si>
  <si>
    <t>Fin coupure</t>
  </si>
  <si>
    <t>Tournée 3</t>
  </si>
  <si>
    <t>Tournée 4</t>
  </si>
  <si>
    <t>Nb d'heures</t>
  </si>
  <si>
    <t>Lundi</t>
  </si>
  <si>
    <t>Mardi</t>
  </si>
  <si>
    <t>Mercredi</t>
  </si>
  <si>
    <t>Jeudi</t>
  </si>
  <si>
    <t>Vendredi</t>
  </si>
  <si>
    <t>Samedi</t>
  </si>
  <si>
    <t>Dimanche</t>
  </si>
  <si>
    <t>Nombre d'heure de la semaine :</t>
  </si>
  <si>
    <t>Nb d'heures dans la semaine</t>
  </si>
  <si>
    <t>Service Assuré :</t>
  </si>
  <si>
    <t>Signature du chef d'entreprise</t>
  </si>
  <si>
    <t>Semaine N° 1</t>
  </si>
  <si>
    <t>Année</t>
  </si>
  <si>
    <t>début sem</t>
  </si>
  <si>
    <t>fin  sem</t>
  </si>
  <si>
    <t>Antonio David</t>
  </si>
  <si>
    <t>Barcelo Alain</t>
  </si>
  <si>
    <t>Bardet Cédric</t>
  </si>
  <si>
    <t>Bardot Jean Luc</t>
  </si>
  <si>
    <t>Batisse Frédéric</t>
  </si>
  <si>
    <t>Batisse Thierry</t>
  </si>
  <si>
    <t>Beaudonnet Ludovic</t>
  </si>
  <si>
    <t>Besset Florian</t>
  </si>
  <si>
    <t>Bonneau Laurent</t>
  </si>
  <si>
    <t>Bonnichon Alexis</t>
  </si>
  <si>
    <t>Borreguero Olivier</t>
  </si>
  <si>
    <t>Bourin David</t>
  </si>
  <si>
    <t>Cambon David</t>
  </si>
  <si>
    <t>Carindo David</t>
  </si>
  <si>
    <t>Charbonnier Dimitri</t>
  </si>
  <si>
    <t>Chassagnon Frédéric</t>
  </si>
  <si>
    <t>Chatelain Marie</t>
  </si>
  <si>
    <t>Chorlet Frédéric</t>
  </si>
  <si>
    <t>Cubizolles Jonathan</t>
  </si>
  <si>
    <t>Darbeau Jérémy</t>
  </si>
  <si>
    <t>Dumond Jérémy</t>
  </si>
  <si>
    <t>Foncelas Pierre</t>
  </si>
  <si>
    <t>Foncelas Yannick</t>
  </si>
  <si>
    <t>Galbes Yannick</t>
  </si>
  <si>
    <t>Gloaguen Thibault</t>
  </si>
  <si>
    <t>Godard Yohann</t>
  </si>
  <si>
    <t>Gomes Jean Philippe</t>
  </si>
  <si>
    <t>Grimaud Olivier</t>
  </si>
  <si>
    <t>Guillaume Hervé</t>
  </si>
  <si>
    <t>Guitard Pierre</t>
  </si>
  <si>
    <t>Jallet Mickael</t>
  </si>
  <si>
    <t>Jimenez Maxime</t>
  </si>
  <si>
    <t>Lamy Laurent</t>
  </si>
  <si>
    <t>Lepauloux Pierre</t>
  </si>
  <si>
    <t>Maubert Fabien</t>
  </si>
  <si>
    <t>Messageon Pierre</t>
  </si>
  <si>
    <t>Mioche Jérome</t>
  </si>
  <si>
    <t>Mioche Thomas</t>
  </si>
  <si>
    <t>Mohamed Ali</t>
  </si>
  <si>
    <t>Monpied Thibaud</t>
  </si>
  <si>
    <t>Mourgues Jérémy</t>
  </si>
  <si>
    <t>Orlowicz Olivier</t>
  </si>
  <si>
    <t>Pageix Loic</t>
  </si>
  <si>
    <t>Papaureille Julien</t>
  </si>
  <si>
    <t>Peron Pierre</t>
  </si>
  <si>
    <t>Petit Clément</t>
  </si>
  <si>
    <t>Rachid</t>
  </si>
  <si>
    <t>Rochefort Stéphane</t>
  </si>
  <si>
    <t>Rougerie Thomas</t>
  </si>
  <si>
    <t>Roux-Pétel Nicolas</t>
  </si>
  <si>
    <t>Royat Richard</t>
  </si>
  <si>
    <t>Saint Joannis Bruce</t>
  </si>
  <si>
    <t>Sami</t>
  </si>
  <si>
    <t>Scicchitano Charlie</t>
  </si>
  <si>
    <t>Theuws Tristan</t>
  </si>
  <si>
    <t>Tramoy David</t>
  </si>
  <si>
    <t>Veniat Anthony</t>
  </si>
  <si>
    <t>Vidal Thierry</t>
  </si>
  <si>
    <t>Viscogliosi Geoffrey</t>
  </si>
  <si>
    <t>mars</t>
  </si>
  <si>
    <t>Congès</t>
  </si>
  <si>
    <t>Maladie</t>
  </si>
  <si>
    <t>Navette Adrexo Roanne</t>
  </si>
  <si>
    <t>Collecte CACF Vichy</t>
  </si>
  <si>
    <t>Nav Adrexo Feurs</t>
  </si>
  <si>
    <t>Nav Adrexo Le Puy</t>
  </si>
  <si>
    <t>Chargt Chrono + Distri banq</t>
  </si>
  <si>
    <t>Distri Colis Le Crest</t>
  </si>
  <si>
    <t>Distri Chrono 03</t>
  </si>
  <si>
    <t>Collecte Chrono Lapalisse</t>
  </si>
  <si>
    <t>Distri Colis St Genes/Olby</t>
  </si>
  <si>
    <t>Distri Colis Aydat</t>
  </si>
  <si>
    <t>Coll Lapalisse + Mayet</t>
  </si>
  <si>
    <t>Navette Boiron Moulins</t>
  </si>
  <si>
    <t>Distri Colis Ceyrat/Aydat</t>
  </si>
  <si>
    <t xml:space="preserve"> Chrono Mont Dore 12h</t>
  </si>
  <si>
    <t>Distri Sodif Brioude</t>
  </si>
  <si>
    <t xml:space="preserve"> Chrono Chamalières 12h</t>
  </si>
  <si>
    <t>Tri Depot Presse</t>
  </si>
  <si>
    <t>Navette Presse Gannat</t>
  </si>
  <si>
    <t>Coll CACF Vichy</t>
  </si>
  <si>
    <t>Chargement Chrono Lyon</t>
  </si>
  <si>
    <t xml:space="preserve">Tri Depot Presse </t>
  </si>
  <si>
    <t xml:space="preserve">Avancé Depot Presse </t>
  </si>
  <si>
    <t>Chargement Chrono</t>
  </si>
  <si>
    <t>Retour Presse + Véto</t>
  </si>
  <si>
    <t>13h45 TNT vichy + Adrexo</t>
  </si>
  <si>
    <t>Véto + BNP Clt Fd</t>
  </si>
  <si>
    <t>Liv Boir Véto Montluçon</t>
  </si>
  <si>
    <t>Livraison Boiron Moulins Est</t>
  </si>
  <si>
    <t>Chrono Distri Soutien</t>
  </si>
  <si>
    <t>Nav distri + fuji Moulins</t>
  </si>
  <si>
    <t>Chargt nav Montpel</t>
  </si>
  <si>
    <t>Boir + Veto OCP</t>
  </si>
  <si>
    <t>Distri Colis Royat/Ceyrat</t>
  </si>
  <si>
    <t>Nav Chrono Montpel</t>
  </si>
  <si>
    <t>Nav Chrono Gerzat</t>
  </si>
  <si>
    <t>Distri Colis Soutien</t>
  </si>
  <si>
    <t>Navette OCP Mlt</t>
  </si>
  <si>
    <t>ASTREINTE</t>
  </si>
  <si>
    <t xml:space="preserve">Distri Chrono Lapalisse </t>
  </si>
  <si>
    <t>Chrono - GLS St Amant</t>
  </si>
  <si>
    <t>Navette Véto - OCP 36</t>
  </si>
  <si>
    <t>Collecte GLS Ambert</t>
  </si>
  <si>
    <t>Nav Porteuse Presse 03</t>
  </si>
  <si>
    <t>Navette Chrono Lyon</t>
  </si>
  <si>
    <t>Nav Porteuse Presse dimanche</t>
  </si>
  <si>
    <t>Nav Presse Gannat</t>
  </si>
  <si>
    <t>Retour sacoches CACF Salins</t>
  </si>
  <si>
    <t>Nav Presse Aurillac</t>
  </si>
  <si>
    <t>Navette Chrono Corbas</t>
  </si>
  <si>
    <t>Collecte GLS Vichy</t>
  </si>
  <si>
    <t xml:space="preserve">Collecte Palette </t>
  </si>
  <si>
    <t>Presse Dim Issoire - Besse</t>
  </si>
  <si>
    <t>Repos</t>
  </si>
  <si>
    <t>Navette Presse Issoire</t>
  </si>
  <si>
    <t>Navette Presse Besse</t>
  </si>
  <si>
    <t>Chrono/GLS Distri Colis</t>
  </si>
  <si>
    <t>Distri Colis Le Cendre/Veyre</t>
  </si>
  <si>
    <t>Navette Presse St Eloy</t>
  </si>
  <si>
    <t>Nav Presse St Eloy Dimanche</t>
  </si>
  <si>
    <t>Distri Chrono Lapalisse</t>
  </si>
  <si>
    <t xml:space="preserve">Retour Presse  </t>
  </si>
  <si>
    <t>Nav Presse Murat</t>
  </si>
  <si>
    <t>Nav Presse Issoire Dimanche</t>
  </si>
  <si>
    <t>Nav Presse Besse Dimanche</t>
  </si>
  <si>
    <t>Nav Presse Bourg Lastic</t>
  </si>
  <si>
    <t>Nav Presse Bourg L Dimanche</t>
  </si>
  <si>
    <t>Nav Sodif Clt FD</t>
  </si>
  <si>
    <t>Navette Office Le Puy</t>
  </si>
  <si>
    <t>Nav Office Dépôt Roanne</t>
  </si>
  <si>
    <t>Cewe+Adrexo roanne + coll</t>
  </si>
  <si>
    <t>12h30 Alliance Santé Besse</t>
  </si>
  <si>
    <t>Sup Chrono</t>
  </si>
  <si>
    <t>Nav Presse Porteuse Vichy</t>
  </si>
  <si>
    <t>Férié</t>
  </si>
  <si>
    <t>7h Tournée Soutien Chrono</t>
  </si>
  <si>
    <t>Nav Presse 03 dimanche</t>
  </si>
  <si>
    <t>Navette Relais Colis Brive</t>
  </si>
  <si>
    <t>Photos Ville + Adrexo Creuse</t>
  </si>
  <si>
    <t>Navette Sodif 42</t>
  </si>
  <si>
    <t>Retour Photos Cewe - Fuji</t>
  </si>
  <si>
    <t>7h30 Chrono Soutien</t>
  </si>
  <si>
    <t>Navette Presse St Flour</t>
  </si>
  <si>
    <t>Nav Presse  dimanche</t>
  </si>
  <si>
    <t>Astreinte</t>
  </si>
  <si>
    <t>Navette Presse Brassac</t>
  </si>
  <si>
    <t>Nav Sodif secteur 42</t>
  </si>
  <si>
    <t>Nav Sodif secteur 23</t>
  </si>
  <si>
    <t>Adrexo + Poste Cusset</t>
  </si>
  <si>
    <t>Collecte Poste Cusset</t>
  </si>
  <si>
    <t>Nav Office Roanne</t>
  </si>
  <si>
    <t>Nav Colis Privé Roanne</t>
  </si>
  <si>
    <t>Livraison PGDIS Riom</t>
  </si>
  <si>
    <t>Liv Pgdis Riom AM</t>
  </si>
  <si>
    <t>Adrexo Roanne</t>
  </si>
  <si>
    <t>Nav Mondial/Relais Guéret</t>
  </si>
  <si>
    <t>Tournée CA Repérage</t>
  </si>
  <si>
    <t>Livrais. Boir/Véto Mlt + Caisses</t>
  </si>
  <si>
    <t>7h Charg TNT</t>
  </si>
  <si>
    <t>8h15 Flauraud Garage</t>
  </si>
  <si>
    <t>14h15 Flauraud Garage</t>
  </si>
  <si>
    <t>Tournee CACF Clt-Fd</t>
  </si>
  <si>
    <t>Nav Colis Prive Puy-Roanne</t>
  </si>
  <si>
    <t>Nav Chrono Lyon + CA Clt Fd</t>
  </si>
  <si>
    <t>Collecte CA Clt Fd</t>
  </si>
  <si>
    <t>Colis Mondial Relay</t>
  </si>
  <si>
    <t>Plastyrobel Montpellier</t>
  </si>
  <si>
    <t>Plastyrobel Clermont Fd</t>
  </si>
  <si>
    <t>Chargement GLS</t>
  </si>
  <si>
    <t>8h Adrexo + Véto Brive</t>
  </si>
  <si>
    <t>TNT + Coll Ambert</t>
  </si>
  <si>
    <t>Nav Presse Aumont</t>
  </si>
  <si>
    <t xml:space="preserve"> Presse Bort Dimanche</t>
  </si>
  <si>
    <t xml:space="preserve"> Presse Egletons Dimanche</t>
  </si>
  <si>
    <t>Chrono/Gls/TNT Besse</t>
  </si>
  <si>
    <t>Tournée Presse Egletons</t>
  </si>
  <si>
    <t>Tournée Presse Bort/Orgues</t>
  </si>
  <si>
    <t>Navette Gefco Millau</t>
  </si>
  <si>
    <t>Navette Gefco Clt Fd</t>
  </si>
  <si>
    <t>Coll Chrono Daffix</t>
  </si>
  <si>
    <t>Boir + OCP Montluçon</t>
  </si>
  <si>
    <t>Coll C.A secteur Mlt</t>
  </si>
  <si>
    <t>Distri garage Flayat</t>
  </si>
  <si>
    <t>Distri garage Bort</t>
  </si>
  <si>
    <t>Boir + Véto +  Ville 6523</t>
  </si>
  <si>
    <t>Nav OCP Lyon</t>
  </si>
  <si>
    <t xml:space="preserve">12h30 Boiron Moulins+OCP </t>
  </si>
  <si>
    <t>Liv OCP Mlt + retour Paris</t>
  </si>
  <si>
    <t>Boir + Véto Montluçon</t>
  </si>
  <si>
    <t>Eletons Dimanche</t>
  </si>
  <si>
    <t>Bort Dimanche</t>
  </si>
  <si>
    <t>Chrono + Gls Besse</t>
  </si>
  <si>
    <t>Sodif Clt Fd</t>
  </si>
  <si>
    <t>Nav Figaro Presse</t>
  </si>
  <si>
    <t>Tournée Distri Sup</t>
  </si>
  <si>
    <t>Chrono Gelles</t>
  </si>
  <si>
    <t>Navette Presse Aurillac</t>
  </si>
  <si>
    <t>Navette Presse Vic/Cere</t>
  </si>
  <si>
    <t>Distri Colis Bourg Lastic</t>
  </si>
  <si>
    <t>Distri Colis Giat</t>
  </si>
  <si>
    <t>Distri TNT/Chrono Samedi</t>
  </si>
  <si>
    <t>Nav Adrexo St Etienne</t>
  </si>
  <si>
    <t>Navette Cewe Vern</t>
  </si>
  <si>
    <t>Navette Cewe Clt Fd</t>
  </si>
  <si>
    <t>Nav Boir Nevers + courrier</t>
  </si>
  <si>
    <t>Véto + sacoches CACF</t>
  </si>
  <si>
    <t>Livraison Gannat + Moulins</t>
  </si>
  <si>
    <t xml:space="preserve">Nav OCP t Etienne + CACF </t>
  </si>
  <si>
    <t>L/R C.A secteur Thiers</t>
  </si>
  <si>
    <t>Mondial relay Issoire</t>
  </si>
  <si>
    <t>Distrihome Ambert + LCL</t>
  </si>
  <si>
    <t>Office Depot Le Puy</t>
  </si>
  <si>
    <t>Cewe+ Adrexo Le Puy</t>
  </si>
  <si>
    <t>Coll C.A + Relais Colis Guéret</t>
  </si>
  <si>
    <t>Fuji Roanne + Aubiere</t>
  </si>
  <si>
    <t>Distri Boiron</t>
  </si>
  <si>
    <t>Distri Colis</t>
  </si>
  <si>
    <t>Navette C Discount 63</t>
  </si>
  <si>
    <t>OCP Roanne - Lyon</t>
  </si>
  <si>
    <t xml:space="preserve">9h Colis Privé Le Puy </t>
  </si>
  <si>
    <t>CACF spécialités 63</t>
  </si>
  <si>
    <t>Bq + Coll TNT Gannat</t>
  </si>
  <si>
    <t>Coll TNT Gannat</t>
  </si>
  <si>
    <t>Charg Chrono Lyon + CACF</t>
  </si>
  <si>
    <t>Relais Mlt+Boir. Moulins</t>
  </si>
  <si>
    <t>Nav Chrono Lyon + Coll C.A</t>
  </si>
  <si>
    <t>Nav OCP Roanne + St Etienne</t>
  </si>
  <si>
    <t>Boiron Moulins + Extérieur</t>
  </si>
  <si>
    <t>Chrono Mt Dore + Fuji</t>
  </si>
  <si>
    <t>Chrono Mt Dore + Chamalières</t>
  </si>
  <si>
    <t>Chrono Mt Dore</t>
  </si>
  <si>
    <t>Nav Adrexo Marne</t>
  </si>
  <si>
    <t>Nav Adrexo Cournon</t>
  </si>
  <si>
    <t>Chrono Montpellier</t>
  </si>
  <si>
    <t>Chrono Clermont</t>
  </si>
  <si>
    <t>OCP + Coll C.A Vichy</t>
  </si>
  <si>
    <t>Coll C.A Secteur Moulins</t>
  </si>
  <si>
    <t>Coll C.A Secteur Montluçon</t>
  </si>
  <si>
    <t>Coll C.A Secteur Guéret</t>
  </si>
  <si>
    <t>Coll C.A Secteur Ambert</t>
  </si>
  <si>
    <t>Coll C.A Secteur Clt Fd</t>
  </si>
  <si>
    <t>Coll C.A Secteur Thiers</t>
  </si>
  <si>
    <t>Navette Relay Guéret</t>
  </si>
  <si>
    <t>Coll C.A Clt Fd - Ambert</t>
  </si>
  <si>
    <t>Fuji Severac le Château</t>
  </si>
  <si>
    <t>20h Fuji Lyon+ Boiron</t>
  </si>
  <si>
    <t>Navette St Aout A/R</t>
  </si>
  <si>
    <t>Navette OCP/Véto 36</t>
  </si>
  <si>
    <t>Livraison Chrono Ville</t>
  </si>
  <si>
    <t>Ramasse Chrono Ville</t>
  </si>
  <si>
    <t>Livraison Chrono Cham</t>
  </si>
  <si>
    <t>Distri Colis TNT Ambert</t>
  </si>
  <si>
    <t>TNT Collectes Brézet</t>
  </si>
  <si>
    <t>Coll  GLS Ziegler</t>
  </si>
  <si>
    <t>Chrono Ramasse Ville</t>
  </si>
  <si>
    <t>Nav Guéret sacoches Nuit</t>
  </si>
  <si>
    <t>Collecte Procam Cheque CA</t>
  </si>
  <si>
    <t>Chrono Distri Ville</t>
  </si>
  <si>
    <t>Boiron Mlt+OCP Mlt samedi</t>
  </si>
  <si>
    <t>Chgt PGDIS Mlt</t>
  </si>
  <si>
    <t>Boir+Véto Mlt+Cewe Mlt</t>
  </si>
  <si>
    <t>Boir+Véto Mlt+Fuji Bourges</t>
  </si>
  <si>
    <t>Livr C.A secteur Guéret</t>
  </si>
  <si>
    <t>Ram C.A secteur Guéret</t>
  </si>
  <si>
    <t>Liv C.A secteur Sancy</t>
  </si>
  <si>
    <t>Ram C.A secteur Sancy</t>
  </si>
  <si>
    <t>Liv C.A secteur MLT</t>
  </si>
  <si>
    <t>Ram C.A secteur MLT</t>
  </si>
  <si>
    <t>Liv C.A/Boir sect  Moulins</t>
  </si>
  <si>
    <t>Ram C.A/Véto sect Moulins</t>
  </si>
  <si>
    <t>Ram BNP secteur MLT</t>
  </si>
  <si>
    <t>Liv BNP/C.A secteur Vichy</t>
  </si>
  <si>
    <t xml:space="preserve">Tournée C.A Clt-Fd </t>
  </si>
  <si>
    <t>Nav C.A Jour Guéret/Procam</t>
  </si>
  <si>
    <t>Nav Toulon/A sacoches Nuit</t>
  </si>
  <si>
    <t>Liv Guéret Jour + Procam</t>
  </si>
  <si>
    <t xml:space="preserve">Livraison CA Guéret Jour </t>
  </si>
  <si>
    <t>Retour sacoches Salins</t>
  </si>
  <si>
    <t>Boiron Nevers</t>
  </si>
  <si>
    <t>Nav Jour C.A Moulins</t>
  </si>
  <si>
    <t>Collecte Sacoches C.A 03</t>
  </si>
  <si>
    <t>Nav Jour C.A Clt Fd</t>
  </si>
  <si>
    <t>Collecte sacoche C.A 63</t>
  </si>
  <si>
    <t>Distri Chrono</t>
  </si>
  <si>
    <t>Boiron Mlt+Photos Cewe</t>
  </si>
  <si>
    <t xml:space="preserve"> Chrono Distri Riom/Mt</t>
  </si>
  <si>
    <t xml:space="preserve">Véto Santé + BNP </t>
  </si>
  <si>
    <t>OCP+chrono Pontgibaud</t>
  </si>
  <si>
    <t xml:space="preserve">Liv OCP + Véto Mlt </t>
  </si>
  <si>
    <t>6h OCP Bort/Orgues</t>
  </si>
  <si>
    <t>Nav CACF Ambert/Ville</t>
  </si>
  <si>
    <t>Adrexo + Fuji Allier</t>
  </si>
  <si>
    <t>Adrexo + Cewe Allier</t>
  </si>
  <si>
    <t xml:space="preserve">Boir/Adrexo Nevers </t>
  </si>
  <si>
    <t>Coll C.A scteur Moulins</t>
  </si>
  <si>
    <t>Navette Chono Montpel</t>
  </si>
  <si>
    <t>Navette Cewe Valence</t>
  </si>
  <si>
    <t>Chgt Gls Mont Dore</t>
  </si>
  <si>
    <t>Chrono/GLS Ceyrat - Orcines</t>
  </si>
  <si>
    <t>Chrono/GLS Ceyrat - St Amant</t>
  </si>
  <si>
    <t>OCP Mt Dore 6121</t>
  </si>
  <si>
    <t>Liv Presse Murat</t>
  </si>
  <si>
    <t>Boir Cerp/ocp + Adrexo</t>
  </si>
  <si>
    <t>Chgt Chrono Montpel</t>
  </si>
  <si>
    <t>Travaux Cewe Allier+Moulins</t>
  </si>
  <si>
    <t>6h OCP Ussel+Mt Dore</t>
  </si>
  <si>
    <t>Navette Avignon</t>
  </si>
  <si>
    <t>Cewe Clt Fd + Issoire</t>
  </si>
  <si>
    <t>Navette Chrono Roissy</t>
  </si>
  <si>
    <t>Navette Chrono Clermont</t>
  </si>
  <si>
    <t>OCP Mlt St Pourcain</t>
  </si>
  <si>
    <t>Collecte Poste 03</t>
  </si>
  <si>
    <t>13h30 LCL CLT FD</t>
  </si>
  <si>
    <t>Cewe Roanne + Coll</t>
  </si>
  <si>
    <t>Distri Geodis Pontaumur 12h</t>
  </si>
  <si>
    <t>Distri Geodis Pontaumur 17h</t>
  </si>
  <si>
    <t>Distri Geodis St Georges 12h</t>
  </si>
  <si>
    <t>Distri Geodis St Georges 17h</t>
  </si>
  <si>
    <t xml:space="preserve">Cewe Le Puy + Lyon </t>
  </si>
  <si>
    <t>Fuji Vichy+Boir Orléans</t>
  </si>
  <si>
    <t>Boir Orléans+OCP Nevers</t>
  </si>
  <si>
    <t>Nav BNP Mlt</t>
  </si>
  <si>
    <t>Nav CACF Vichy</t>
  </si>
  <si>
    <t>Chargement TNT</t>
  </si>
  <si>
    <t>Distri Colis Samedi</t>
  </si>
  <si>
    <t>Chrono Collecte Brézet</t>
  </si>
  <si>
    <t>Sodif Clt Fd et Alentours</t>
  </si>
  <si>
    <t>Fuji Vichy+Fuji Mlt</t>
  </si>
  <si>
    <t>Fuji Moulins + Fuji Clt</t>
  </si>
  <si>
    <t>Navette Moulins+fuji Vichy</t>
  </si>
  <si>
    <t>Navette Mlt + Moulins</t>
  </si>
  <si>
    <t>Navette Relais Colis Gueret</t>
  </si>
  <si>
    <t>Navette  Moulins + Banque</t>
  </si>
  <si>
    <t>Intertraitance Vierzon+Clt-Fd</t>
  </si>
  <si>
    <t>Navette Colis Prive 19</t>
  </si>
  <si>
    <t>Navette Chrono Mende</t>
  </si>
  <si>
    <t>Chrono Mt Dore + Bourboule</t>
  </si>
  <si>
    <t>Chrono Ponto + Royat</t>
  </si>
  <si>
    <t>Distri Chrono Romagnat</t>
  </si>
  <si>
    <t>Distri Chrono Chamalieres</t>
  </si>
  <si>
    <t xml:space="preserve"> Chrono Distri Mauriac 13h</t>
  </si>
  <si>
    <t xml:space="preserve"> Chrono Distri Maur. Sud</t>
  </si>
  <si>
    <t>Boir + Adrexo Aurillac</t>
  </si>
  <si>
    <t>OCP + Coll Aurillac</t>
  </si>
  <si>
    <t>Coll Chrono Aurillac</t>
  </si>
  <si>
    <t>GLS Gerzat</t>
  </si>
  <si>
    <t xml:space="preserve"> Chrono Coll Mauriac</t>
  </si>
  <si>
    <t>Chrono Distri Cham + Rom S</t>
  </si>
  <si>
    <t>Chrono Distri Mt Dore  S</t>
  </si>
  <si>
    <t>TNT/Chrono Le Cendre</t>
  </si>
  <si>
    <t>Chrono Royat + Orcines</t>
  </si>
  <si>
    <t>Chrono St Sauves</t>
  </si>
  <si>
    <t>Véto St Aout + Fuji Mlt</t>
  </si>
  <si>
    <t>Chrono Collectes+retour Colis</t>
  </si>
  <si>
    <t>Boiron + Véto Roanne</t>
  </si>
  <si>
    <t>Navette Colis Prive</t>
  </si>
  <si>
    <t>Véto + Boiron Roanne</t>
  </si>
  <si>
    <t>Chrono Mt Dore+ Ponto S</t>
  </si>
  <si>
    <t>Chargt Chrono 63 et 15</t>
  </si>
  <si>
    <t>Distri Chrono- TNT samedi</t>
  </si>
  <si>
    <t>Chrono Cham + Romagnat</t>
  </si>
  <si>
    <t>Collectes Chrono Aurillac</t>
  </si>
  <si>
    <t>Navette OCP Aurillac</t>
  </si>
  <si>
    <t xml:space="preserve"> Chrono Distri Mauriac </t>
  </si>
  <si>
    <t xml:space="preserve"> Chrono Coll Aurillac</t>
  </si>
  <si>
    <t xml:space="preserve"> Chrono Mauriac Sud</t>
  </si>
  <si>
    <t>Chrono Collectes</t>
  </si>
  <si>
    <t xml:space="preserve">Distri GLS - Chrono Varennes </t>
  </si>
  <si>
    <t>Collecte Poste Moulins</t>
  </si>
  <si>
    <t>GLS St Pourçain</t>
  </si>
  <si>
    <t>Chargt Chrono 15 et 63</t>
  </si>
  <si>
    <t>Collecte Chrono Ville</t>
  </si>
  <si>
    <t>Collecte Poste Moulins L</t>
  </si>
  <si>
    <t>Navette Boir Bourges</t>
  </si>
  <si>
    <t>Navette Gls Paris</t>
  </si>
  <si>
    <t>Navette Gerzat Clt Fd</t>
  </si>
  <si>
    <t>Boiron - Véto Roanne</t>
  </si>
  <si>
    <t>Navette Boir. Aurillac</t>
  </si>
  <si>
    <t>Distri Chrono Riom/Mt</t>
  </si>
  <si>
    <t>Chrono Collecte Ville</t>
  </si>
  <si>
    <t>Nav Presse Gallargues</t>
  </si>
  <si>
    <t>Nav Presse Clt Fd</t>
  </si>
  <si>
    <t>Coll Chrono Mende + banque</t>
  </si>
  <si>
    <t>Collecte TNT Ponto</t>
  </si>
  <si>
    <t>Chrono + Gls St Pourçain</t>
  </si>
  <si>
    <t>Chrono + Gls Lapalisse</t>
  </si>
  <si>
    <t>Distri GLS Courpière</t>
  </si>
  <si>
    <t>Collecte GLS Mayet</t>
  </si>
  <si>
    <t>Distri Colis Issoire</t>
  </si>
  <si>
    <t>Distri Colis Issoire S</t>
  </si>
  <si>
    <t>Distri TNT Ambert</t>
  </si>
  <si>
    <t>Tournée OCP Riom/Mt</t>
  </si>
  <si>
    <t>Véto + Cewe Clt Fd</t>
  </si>
  <si>
    <t>Fuji Lyon+St Etienne</t>
  </si>
  <si>
    <t>Porteuse Presse 19</t>
  </si>
  <si>
    <t>Tournée Presse Ussel</t>
  </si>
  <si>
    <t>Dim Porteuse Presse 19</t>
  </si>
  <si>
    <t>Fuji Lyon+OCP+Boiron</t>
  </si>
  <si>
    <t>Sacoche CACF Salins</t>
  </si>
  <si>
    <t>Boir Moulins + Distrih</t>
  </si>
  <si>
    <t>Fuji Nevers + Banque</t>
  </si>
  <si>
    <t>Boir Dompierre + Distrih</t>
  </si>
  <si>
    <t>Alliance Santé Besse</t>
  </si>
  <si>
    <t>Collecte Poste Mauriac</t>
  </si>
  <si>
    <t>Collecte Poste Aurillac</t>
  </si>
  <si>
    <t>Collecte Poste St Flour</t>
  </si>
  <si>
    <t>Boiron Digoin + Fuji</t>
  </si>
  <si>
    <t>Fuji Roanne gde + disrihome</t>
  </si>
  <si>
    <t>Fuji Roanne pte + disrihome</t>
  </si>
  <si>
    <t>Boir. + Fuji Vichy</t>
  </si>
  <si>
    <t>Coll GLS Mayet Mt</t>
  </si>
  <si>
    <t>Collecte Chrono + TNT</t>
  </si>
  <si>
    <t>Chrono/TNT Distri Ydes</t>
  </si>
  <si>
    <t>Chrono/GLS Tour</t>
  </si>
  <si>
    <t>Liv/Ram Fuji Roanne</t>
  </si>
  <si>
    <t>Navette distrihome Roanne</t>
  </si>
  <si>
    <t>Navette relais Roanne</t>
  </si>
  <si>
    <t>Navette CA TOP Lyon</t>
  </si>
  <si>
    <t>Distri GLS Ambert</t>
  </si>
  <si>
    <t>Coll GLS Ambert</t>
  </si>
  <si>
    <t>Distri Colis Champeix/Murol</t>
  </si>
  <si>
    <t>Distri Colis Besse</t>
  </si>
  <si>
    <t>Distri Chrono Besse</t>
  </si>
  <si>
    <t>Chrono Distri Mauriac</t>
  </si>
  <si>
    <t>Nav adrexo/DHL Creuse</t>
  </si>
  <si>
    <t>Collecte C.A Guéret</t>
  </si>
  <si>
    <t>Gls Optique+Colis Gannat</t>
  </si>
  <si>
    <t>Boir+Fuji+Vichy + GLS Gannat</t>
  </si>
  <si>
    <t>Liv Colis Distrihome</t>
  </si>
  <si>
    <t>Nav Chrono Aurillac</t>
  </si>
  <si>
    <t>Collecte BNP Cantal</t>
  </si>
  <si>
    <t>Livraison BNP/OCP Cantal</t>
  </si>
  <si>
    <t>Ocp 48 + Collecte BNP</t>
  </si>
  <si>
    <t>Coll Poste St Flour + BNP</t>
  </si>
  <si>
    <t>Moulins Boir. Fuji relais</t>
  </si>
  <si>
    <t>Fuji Nevers + Fuji Autun</t>
  </si>
  <si>
    <t>Coll Chrono+colis GLS</t>
  </si>
  <si>
    <t>Boir Nevers+Moulins+Colis</t>
  </si>
  <si>
    <t>Boiron Mlt + OCP</t>
  </si>
  <si>
    <t>Boiron Moulins+S.G allier</t>
  </si>
  <si>
    <t>Boir Nevers+Moulins+Banq</t>
  </si>
  <si>
    <t>Navette distri 42</t>
  </si>
  <si>
    <t>Tessi + Chrono Durtol</t>
  </si>
  <si>
    <t>Brink's Tessi + Colis</t>
  </si>
  <si>
    <t>Navette Neolog Montpellier</t>
  </si>
  <si>
    <t>Navette Neolog Clt Fd</t>
  </si>
  <si>
    <t>Navette Chrono Montpellier</t>
  </si>
  <si>
    <t>Navette Chrono Gerzat</t>
  </si>
  <si>
    <t>Nav Neolog Clt Fd</t>
  </si>
  <si>
    <t>Nav Neolog Montpellier</t>
  </si>
  <si>
    <t>Chrono Ponto</t>
  </si>
  <si>
    <t>Collecte Poste Montluçon</t>
  </si>
  <si>
    <t>Nav Neolog Bordeaux</t>
  </si>
  <si>
    <t>Chrono Durtol</t>
  </si>
  <si>
    <t xml:space="preserve">Collecte Poste Moulins </t>
  </si>
  <si>
    <t>Chrono Durtol + Brink's Tessi</t>
  </si>
  <si>
    <t>GLS + CHRONO Ponto</t>
  </si>
  <si>
    <t>Distri  GLS-Chrono Lapalisse</t>
  </si>
  <si>
    <t>Chrono Corbas - Brive</t>
  </si>
  <si>
    <t>Navette Chrono Brive</t>
  </si>
  <si>
    <t>Fuji Nevers + relais Moulins</t>
  </si>
  <si>
    <t>Chargement OCP Lyon</t>
  </si>
  <si>
    <t>Chrono Cantal/Besse Samedi</t>
  </si>
  <si>
    <t>Navette Corbas - Clt Fd</t>
  </si>
  <si>
    <t>Nav Colis Privé Moulins</t>
  </si>
  <si>
    <t>Navette Neolog Bordeaux</t>
  </si>
  <si>
    <t>Distrihome Moulins</t>
  </si>
  <si>
    <t>Fuji + Poste MLT</t>
  </si>
  <si>
    <t>Boir/Adrexo Nevers + CA 03</t>
  </si>
  <si>
    <t>Fuji Montluçon</t>
  </si>
  <si>
    <t>Boir. Nevers</t>
  </si>
  <si>
    <t>Fuji + Cewe Roanne</t>
  </si>
  <si>
    <t>Livraison produits pharmaceutiques</t>
  </si>
  <si>
    <t>Livraison et ramassage de travaux Photos</t>
  </si>
  <si>
    <t>Distribution de colis Chronopost</t>
  </si>
  <si>
    <t>Navette Chronopost</t>
  </si>
  <si>
    <t>Ramassage et collecte marchandises</t>
  </si>
  <si>
    <t>Livraison et ramassage bancaire</t>
  </si>
  <si>
    <t>Livraison de marchandises</t>
  </si>
  <si>
    <t>Navette G.L.S</t>
  </si>
  <si>
    <t>Navette Presse</t>
  </si>
  <si>
    <t>Distribution de colis GLS</t>
  </si>
  <si>
    <t>D:\TBF\Planning\PLANNING MOIS</t>
  </si>
  <si>
    <t>Chargement Adrexo</t>
  </si>
  <si>
    <t>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</si>
</sst>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mm\ yyyy"/>
    <numFmt numFmtId="165" formatCode="dd"/>
    <numFmt numFmtId="166" formatCode="[$-40C]d\-mmm;@"/>
    <numFmt numFmtId="167" formatCode="h:mm"/>
  </numFmts>
  <fonts count="31" x14ac:knownFonts="1">
    <font>
      <sz val="9"/>
      <name val="Franklin Gothic Medium"/>
      <family val="2"/>
      <scheme val="major"/>
    </font>
    <font>
      <sz val="8"/>
      <name val="Arial"/>
      <family val="2"/>
    </font>
    <font>
      <sz val="10"/>
      <name val="Century Gothic"/>
      <family val="2"/>
    </font>
    <font>
      <b/>
      <sz val="11"/>
      <color theme="0"/>
      <name val="Euphemia"/>
      <family val="2"/>
      <scheme val="minor"/>
    </font>
    <font>
      <b/>
      <sz val="14"/>
      <color theme="0"/>
      <name val="Euphemia"/>
      <family val="2"/>
      <scheme val="minor"/>
    </font>
    <font>
      <b/>
      <sz val="28"/>
      <color theme="1" tint="0.34998626667073579"/>
      <name val="Euphemia"/>
      <family val="2"/>
      <scheme val="minor"/>
    </font>
    <font>
      <sz val="10"/>
      <color indexed="63"/>
      <name val="Euphemia"/>
      <family val="2"/>
      <scheme val="minor"/>
    </font>
    <font>
      <sz val="9"/>
      <name val="Franklin Gothic Medium"/>
      <family val="2"/>
      <scheme val="major"/>
    </font>
    <font>
      <b/>
      <sz val="8"/>
      <color theme="0"/>
      <name val="Euphemia"/>
      <family val="2"/>
      <scheme val="minor"/>
    </font>
    <font>
      <sz val="9"/>
      <color theme="1"/>
      <name val="Franklin Gothic Medium"/>
      <family val="2"/>
      <scheme val="major"/>
    </font>
    <font>
      <sz val="16"/>
      <color theme="1" tint="0.499984740745262"/>
      <name val="Franklin Gothic Medium"/>
      <family val="2"/>
      <scheme val="major"/>
    </font>
    <font>
      <sz val="36"/>
      <color theme="4"/>
      <name val="Franklin Gothic Medium"/>
      <family val="2"/>
      <scheme val="major"/>
    </font>
    <font>
      <sz val="1"/>
      <color theme="0"/>
      <name val="Euphemia"/>
      <family val="2"/>
      <scheme val="minor"/>
    </font>
    <font>
      <i/>
      <sz val="9"/>
      <name val="Franklin Gothic Medium"/>
      <family val="2"/>
      <scheme val="major"/>
    </font>
    <font>
      <sz val="9"/>
      <name val="Times New Roman"/>
      <family val="1"/>
    </font>
    <font>
      <sz val="22"/>
      <name val="Times New Roman"/>
      <family val="1"/>
    </font>
    <font>
      <b/>
      <sz val="16"/>
      <color theme="1" tint="0.499984740745262"/>
      <name val="Times New Roman"/>
      <family val="1"/>
    </font>
    <font>
      <sz val="1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sz val="16"/>
      <name val="Times New Roman"/>
      <family val="1"/>
    </font>
    <font>
      <b/>
      <sz val="18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b/>
      <sz val="16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9"/>
      <color indexed="57"/>
      <name val="Times New Roman"/>
      <family val="1"/>
    </font>
    <font>
      <b/>
      <sz val="13"/>
      <color theme="1"/>
      <name val="Times New Roman"/>
      <family val="1"/>
    </font>
    <font>
      <b/>
      <sz val="13"/>
      <color indexed="10"/>
      <name val="Times New Roman"/>
      <family val="1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3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3743705557422"/>
      </top>
      <bottom/>
      <diagonal/>
    </border>
    <border>
      <left style="thin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/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0691854609822"/>
      </left>
      <right style="thin">
        <color indexed="64"/>
      </right>
      <top/>
      <bottom/>
      <diagonal/>
    </border>
    <border>
      <left style="thin">
        <color theme="0" tint="-0.14990691854609822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 applyFill="0" applyBorder="0" applyProtection="0">
      <alignment horizontal="left" indent="1"/>
    </xf>
    <xf numFmtId="0" fontId="6" fillId="3" borderId="0" applyNumberFormat="0" applyBorder="0" applyAlignment="0" applyProtection="0"/>
    <xf numFmtId="0" fontId="5" fillId="0" borderId="0" applyNumberFormat="0" applyFill="0" applyAlignment="0" applyProtection="0"/>
    <xf numFmtId="0" fontId="3" fillId="4" borderId="1" applyNumberFormat="0" applyAlignment="0" applyProtection="0"/>
    <xf numFmtId="0" fontId="4" fillId="5" borderId="2" applyNumberFormat="0" applyProtection="0">
      <alignment vertical="center"/>
    </xf>
    <xf numFmtId="0" fontId="8" fillId="6" borderId="3" applyNumberFormat="0" applyAlignment="0">
      <alignment horizontal="left" indent="1"/>
    </xf>
    <xf numFmtId="165" fontId="10" fillId="0" borderId="4" applyFill="0" applyProtection="0">
      <alignment horizontal="left" vertical="center" wrapText="1" indent="1"/>
    </xf>
    <xf numFmtId="165" fontId="9" fillId="0" borderId="6" applyFill="0" applyProtection="0">
      <alignment horizontal="left" vertical="top" wrapText="1" indent="1"/>
    </xf>
    <xf numFmtId="165" fontId="9" fillId="0" borderId="0" applyNumberFormat="0" applyFill="0" applyProtection="0">
      <alignment horizontal="left" vertical="top" wrapText="1" indent="1"/>
    </xf>
    <xf numFmtId="165" fontId="7" fillId="0" borderId="7" applyNumberFormat="0" applyFill="0" applyProtection="0">
      <alignment horizontal="left" vertical="center" wrapText="1" indent="1"/>
    </xf>
    <xf numFmtId="0" fontId="11" fillId="0" borderId="0" applyNumberFormat="0" applyFill="0" applyBorder="0" applyProtection="0">
      <alignment horizontal="left" indent="7"/>
    </xf>
    <xf numFmtId="0" fontId="12" fillId="0" borderId="0" applyNumberFormat="0" applyFill="0" applyBorder="0" applyAlignment="0" applyProtection="0">
      <alignment horizontal="left" vertical="center"/>
    </xf>
    <xf numFmtId="0" fontId="8" fillId="7" borderId="3">
      <alignment horizontal="left" indent="1"/>
    </xf>
    <xf numFmtId="0" fontId="30" fillId="0" borderId="0"/>
  </cellStyleXfs>
  <cellXfs count="133">
    <xf numFmtId="0" fontId="0" fillId="0" borderId="0" xfId="0">
      <alignment horizontal="left" indent="1"/>
    </xf>
    <xf numFmtId="0" fontId="0" fillId="2" borderId="0" xfId="0" applyFill="1">
      <alignment horizontal="left" indent="1"/>
    </xf>
    <xf numFmtId="0" fontId="2" fillId="2" borderId="0" xfId="0" applyFont="1" applyFill="1">
      <alignment horizontal="left" indent="1"/>
    </xf>
    <xf numFmtId="0" fontId="2" fillId="0" borderId="0" xfId="0" applyFont="1">
      <alignment horizontal="left" indent="1"/>
    </xf>
    <xf numFmtId="164" fontId="5" fillId="2" borderId="0" xfId="2" applyNumberFormat="1" applyFill="1" applyBorder="1" applyAlignment="1">
      <alignment vertical="center"/>
    </xf>
    <xf numFmtId="0" fontId="8" fillId="6" borderId="3" xfId="5">
      <alignment horizontal="left" indent="1"/>
    </xf>
    <xf numFmtId="0" fontId="11" fillId="0" borderId="0" xfId="10">
      <alignment horizontal="left" indent="7"/>
    </xf>
    <xf numFmtId="0" fontId="12" fillId="0" borderId="0" xfId="11" applyFill="1" applyBorder="1" applyAlignment="1">
      <alignment horizontal="left" vertical="center"/>
    </xf>
    <xf numFmtId="0" fontId="8" fillId="7" borderId="3" xfId="12">
      <alignment horizontal="left" indent="1"/>
    </xf>
    <xf numFmtId="0" fontId="13" fillId="0" borderId="0" xfId="0" applyFont="1" applyFill="1">
      <alignment horizontal="left" indent="1"/>
    </xf>
    <xf numFmtId="20" fontId="0" fillId="0" borderId="0" xfId="0" applyNumberFormat="1">
      <alignment horizontal="left" indent="1"/>
    </xf>
    <xf numFmtId="0" fontId="14" fillId="0" borderId="6" xfId="6" applyNumberFormat="1" applyFont="1" applyFill="1" applyBorder="1" applyAlignment="1">
      <alignment horizontal="center" vertical="center" shrinkToFit="1"/>
    </xf>
    <xf numFmtId="0" fontId="14" fillId="0" borderId="6" xfId="6" applyNumberFormat="1" applyFont="1" applyFill="1" applyBorder="1" applyAlignment="1" applyProtection="1">
      <alignment horizontal="center" vertical="center" shrinkToFit="1"/>
      <protection locked="0"/>
    </xf>
    <xf numFmtId="0" fontId="14" fillId="8" borderId="11" xfId="6" applyNumberFormat="1" applyFont="1" applyFill="1" applyBorder="1" applyAlignment="1">
      <alignment horizontal="center" vertical="center" shrinkToFit="1"/>
    </xf>
    <xf numFmtId="0" fontId="14" fillId="8" borderId="6" xfId="6" applyNumberFormat="1" applyFont="1" applyFill="1" applyBorder="1" applyAlignment="1">
      <alignment horizontal="center" vertical="center" shrinkToFit="1"/>
    </xf>
    <xf numFmtId="0" fontId="14" fillId="0" borderId="11" xfId="6" applyNumberFormat="1" applyFont="1" applyFill="1" applyBorder="1" applyAlignment="1">
      <alignment horizontal="center" vertical="center" shrinkToFit="1"/>
    </xf>
    <xf numFmtId="0" fontId="14" fillId="0" borderId="11" xfId="7" applyNumberFormat="1" applyFont="1" applyFill="1" applyBorder="1" applyAlignment="1">
      <alignment horizontal="center" vertical="top" shrinkToFit="1"/>
    </xf>
    <xf numFmtId="0" fontId="14" fillId="0" borderId="6" xfId="7" applyNumberFormat="1" applyFont="1" applyFill="1" applyBorder="1" applyAlignment="1">
      <alignment horizontal="center" vertical="top" shrinkToFit="1"/>
    </xf>
    <xf numFmtId="0" fontId="14" fillId="0" borderId="14" xfId="7" applyNumberFormat="1" applyFont="1" applyFill="1" applyBorder="1" applyAlignment="1">
      <alignment horizontal="center" vertical="top" shrinkToFit="1"/>
    </xf>
    <xf numFmtId="0" fontId="14" fillId="0" borderId="15" xfId="7" applyNumberFormat="1" applyFont="1" applyFill="1" applyBorder="1" applyAlignment="1">
      <alignment horizontal="center" vertical="top" shrinkToFit="1"/>
    </xf>
    <xf numFmtId="165" fontId="16" fillId="0" borderId="8" xfId="6" applyFont="1" applyFill="1" applyBorder="1">
      <alignment horizontal="left" vertical="center" wrapText="1" indent="1"/>
    </xf>
    <xf numFmtId="165" fontId="16" fillId="0" borderId="9" xfId="6" applyFont="1" applyFill="1" applyBorder="1">
      <alignment horizontal="left" vertical="center" wrapText="1" indent="1"/>
    </xf>
    <xf numFmtId="165" fontId="16" fillId="0" borderId="10" xfId="6" applyFont="1" applyFill="1" applyBorder="1">
      <alignment horizontal="left" vertical="center" wrapText="1" indent="1"/>
    </xf>
    <xf numFmtId="165" fontId="16" fillId="0" borderId="12" xfId="6" applyFont="1" applyFill="1" applyBorder="1">
      <alignment horizontal="left" vertical="center" wrapText="1" indent="1"/>
    </xf>
    <xf numFmtId="165" fontId="16" fillId="0" borderId="4" xfId="6" applyFont="1" applyFill="1" applyBorder="1">
      <alignment horizontal="left" vertical="center" wrapText="1" indent="1"/>
    </xf>
    <xf numFmtId="0" fontId="14" fillId="8" borderId="0" xfId="6" applyNumberFormat="1" applyFont="1" applyFill="1" applyBorder="1" applyAlignment="1">
      <alignment horizontal="center" vertical="center" shrinkToFit="1"/>
    </xf>
    <xf numFmtId="0" fontId="14" fillId="0" borderId="0" xfId="6" applyNumberFormat="1" applyFont="1" applyFill="1" applyBorder="1" applyAlignment="1">
      <alignment horizontal="center" vertical="center" shrinkToFit="1"/>
    </xf>
    <xf numFmtId="0" fontId="14" fillId="0" borderId="0" xfId="7" applyNumberFormat="1" applyFont="1" applyFill="1" applyBorder="1" applyAlignment="1">
      <alignment horizontal="center" vertical="top" shrinkToFit="1"/>
    </xf>
    <xf numFmtId="165" fontId="16" fillId="0" borderId="21" xfId="6" applyFont="1" applyFill="1" applyBorder="1">
      <alignment horizontal="left" vertical="center" wrapText="1" indent="1"/>
    </xf>
    <xf numFmtId="165" fontId="16" fillId="0" borderId="22" xfId="6" applyFont="1" applyFill="1" applyBorder="1">
      <alignment horizontal="left" vertical="center" wrapText="1" indent="1"/>
    </xf>
    <xf numFmtId="165" fontId="16" fillId="0" borderId="24" xfId="6" applyFont="1" applyFill="1" applyBorder="1">
      <alignment horizontal="left" vertical="center" wrapText="1" indent="1"/>
    </xf>
    <xf numFmtId="0" fontId="14" fillId="8" borderId="22" xfId="6" applyNumberFormat="1" applyFont="1" applyFill="1" applyBorder="1" applyAlignment="1">
      <alignment horizontal="center" vertical="center" shrinkToFit="1"/>
    </xf>
    <xf numFmtId="0" fontId="14" fillId="0" borderId="22" xfId="6" applyNumberFormat="1" applyFont="1" applyFill="1" applyBorder="1" applyAlignment="1">
      <alignment horizontal="center" vertical="center" shrinkToFit="1"/>
    </xf>
    <xf numFmtId="0" fontId="14" fillId="0" borderId="23" xfId="7" applyNumberFormat="1" applyFont="1" applyFill="1" applyBorder="1" applyAlignment="1">
      <alignment horizontal="center" vertical="top" shrinkToFit="1"/>
    </xf>
    <xf numFmtId="0" fontId="14" fillId="0" borderId="20" xfId="7" applyNumberFormat="1" applyFont="1" applyFill="1" applyBorder="1" applyAlignment="1">
      <alignment horizontal="center" vertical="top" shrinkToFit="1"/>
    </xf>
    <xf numFmtId="0" fontId="14" fillId="8" borderId="11" xfId="6" applyNumberFormat="1" applyFont="1" applyFill="1" applyBorder="1" applyAlignment="1" applyProtection="1">
      <alignment horizontal="center" vertical="center" shrinkToFit="1"/>
      <protection locked="0"/>
    </xf>
    <xf numFmtId="0" fontId="14" fillId="8" borderId="6" xfId="6" applyNumberFormat="1" applyFont="1" applyFill="1" applyBorder="1" applyAlignment="1" applyProtection="1">
      <alignment horizontal="center" vertical="center" shrinkToFit="1"/>
      <protection locked="0"/>
    </xf>
    <xf numFmtId="0" fontId="14" fillId="8" borderId="0" xfId="6" applyNumberFormat="1" applyFont="1" applyFill="1" applyBorder="1" applyAlignment="1" applyProtection="1">
      <alignment horizontal="center" vertical="center" shrinkToFit="1"/>
      <protection locked="0"/>
    </xf>
    <xf numFmtId="0" fontId="14" fillId="8" borderId="22" xfId="6" applyNumberFormat="1" applyFont="1" applyFill="1" applyBorder="1" applyAlignment="1" applyProtection="1">
      <alignment horizontal="center" vertical="center" shrinkToFit="1"/>
      <protection locked="0"/>
    </xf>
    <xf numFmtId="0" fontId="14" fillId="0" borderId="11" xfId="6" applyNumberFormat="1" applyFont="1" applyFill="1" applyBorder="1" applyAlignment="1" applyProtection="1">
      <alignment horizontal="center" vertical="center" shrinkToFit="1"/>
      <protection locked="0"/>
    </xf>
    <xf numFmtId="0" fontId="14" fillId="0" borderId="0" xfId="6" applyNumberFormat="1" applyFont="1" applyFill="1" applyBorder="1" applyAlignment="1" applyProtection="1">
      <alignment horizontal="center" vertical="center" shrinkToFit="1"/>
      <protection locked="0"/>
    </xf>
    <xf numFmtId="0" fontId="14" fillId="0" borderId="22" xfId="6" applyNumberFormat="1" applyFont="1" applyFill="1" applyBorder="1" applyAlignment="1" applyProtection="1">
      <alignment horizontal="center" vertical="center" shrinkToFit="1"/>
      <protection locked="0"/>
    </xf>
    <xf numFmtId="0" fontId="14" fillId="0" borderId="11" xfId="7" applyNumberFormat="1" applyFont="1" applyFill="1" applyBorder="1" applyAlignment="1" applyProtection="1">
      <alignment horizontal="center" vertical="top" shrinkToFit="1"/>
      <protection locked="0"/>
    </xf>
    <xf numFmtId="0" fontId="14" fillId="0" borderId="6" xfId="7" applyNumberFormat="1" applyFont="1" applyFill="1" applyBorder="1" applyAlignment="1" applyProtection="1">
      <alignment horizontal="center" vertical="top" shrinkToFit="1"/>
      <protection locked="0"/>
    </xf>
    <xf numFmtId="0" fontId="14" fillId="0" borderId="0" xfId="7" applyNumberFormat="1" applyFont="1" applyFill="1" applyBorder="1" applyAlignment="1" applyProtection="1">
      <alignment horizontal="center" vertical="top" shrinkToFit="1"/>
      <protection locked="0"/>
    </xf>
    <xf numFmtId="0" fontId="14" fillId="0" borderId="23" xfId="7" applyNumberFormat="1" applyFont="1" applyFill="1" applyBorder="1" applyAlignment="1" applyProtection="1">
      <alignment horizontal="center" vertical="top" shrinkToFit="1"/>
      <protection locked="0"/>
    </xf>
    <xf numFmtId="0" fontId="17" fillId="0" borderId="0" xfId="13" applyFont="1"/>
    <xf numFmtId="0" fontId="23" fillId="0" borderId="0" xfId="13" applyFont="1" applyAlignment="1">
      <alignment horizontal="center"/>
    </xf>
    <xf numFmtId="0" fontId="24" fillId="0" borderId="0" xfId="13" applyFont="1"/>
    <xf numFmtId="0" fontId="24" fillId="0" borderId="0" xfId="13" applyFont="1" applyAlignment="1" applyProtection="1">
      <alignment horizontal="left"/>
      <protection locked="0"/>
    </xf>
    <xf numFmtId="0" fontId="24" fillId="0" borderId="0" xfId="13" applyFont="1" applyAlignment="1"/>
    <xf numFmtId="0" fontId="17" fillId="9" borderId="0" xfId="13" applyFont="1" applyFill="1"/>
    <xf numFmtId="0" fontId="17" fillId="0" borderId="0" xfId="13" applyFont="1" applyAlignment="1">
      <alignment vertical="center"/>
    </xf>
    <xf numFmtId="2" fontId="17" fillId="0" borderId="0" xfId="13" applyNumberFormat="1" applyFont="1" applyAlignment="1">
      <alignment vertical="center"/>
    </xf>
    <xf numFmtId="0" fontId="17" fillId="9" borderId="0" xfId="13" applyFont="1" applyFill="1" applyAlignment="1">
      <alignment vertical="center"/>
    </xf>
    <xf numFmtId="46" fontId="26" fillId="0" borderId="28" xfId="13" applyNumberFormat="1" applyFont="1" applyBorder="1" applyAlignment="1">
      <alignment horizontal="center" vertical="center"/>
    </xf>
    <xf numFmtId="0" fontId="26" fillId="0" borderId="0" xfId="13" applyFont="1" applyAlignment="1">
      <alignment horizontal="right" vertical="center"/>
    </xf>
    <xf numFmtId="0" fontId="25" fillId="0" borderId="0" xfId="13" applyFont="1" applyAlignment="1">
      <alignment vertical="center"/>
    </xf>
    <xf numFmtId="0" fontId="25" fillId="9" borderId="0" xfId="13" applyFont="1" applyFill="1"/>
    <xf numFmtId="0" fontId="23" fillId="9" borderId="0" xfId="13" applyFont="1" applyFill="1" applyAlignment="1">
      <alignment horizontal="center"/>
    </xf>
    <xf numFmtId="2" fontId="17" fillId="0" borderId="0" xfId="13" applyNumberFormat="1" applyFont="1"/>
    <xf numFmtId="46" fontId="25" fillId="0" borderId="34" xfId="13" applyNumberFormat="1" applyFont="1" applyBorder="1" applyAlignment="1">
      <alignment horizontal="center" vertical="center"/>
    </xf>
    <xf numFmtId="0" fontId="25" fillId="0" borderId="50" xfId="13" applyFont="1" applyBorder="1" applyAlignment="1">
      <alignment vertical="center"/>
    </xf>
    <xf numFmtId="0" fontId="25" fillId="0" borderId="49" xfId="13" applyFont="1" applyBorder="1" applyAlignment="1">
      <alignment vertical="center"/>
    </xf>
    <xf numFmtId="0" fontId="25" fillId="0" borderId="48" xfId="13" applyFont="1" applyBorder="1" applyAlignment="1">
      <alignment vertical="center"/>
    </xf>
    <xf numFmtId="167" fontId="23" fillId="12" borderId="54" xfId="13" applyNumberFormat="1" applyFont="1" applyFill="1" applyBorder="1" applyAlignment="1">
      <alignment horizontal="center" vertical="center"/>
    </xf>
    <xf numFmtId="167" fontId="23" fillId="11" borderId="52" xfId="13" applyNumberFormat="1" applyFont="1" applyFill="1" applyBorder="1" applyAlignment="1">
      <alignment horizontal="center" vertical="center"/>
    </xf>
    <xf numFmtId="167" fontId="23" fillId="10" borderId="39" xfId="13" applyNumberFormat="1" applyFont="1" applyFill="1" applyBorder="1" applyAlignment="1">
      <alignment horizontal="center" vertical="center"/>
    </xf>
    <xf numFmtId="167" fontId="23" fillId="10" borderId="38" xfId="13" applyNumberFormat="1" applyFont="1" applyFill="1" applyBorder="1" applyAlignment="1">
      <alignment horizontal="center" vertical="center"/>
    </xf>
    <xf numFmtId="0" fontId="25" fillId="0" borderId="51" xfId="13" applyFont="1" applyBorder="1" applyAlignment="1">
      <alignment vertical="center"/>
    </xf>
    <xf numFmtId="167" fontId="23" fillId="12" borderId="46" xfId="13" applyNumberFormat="1" applyFont="1" applyFill="1" applyBorder="1" applyAlignment="1">
      <alignment horizontal="center" vertical="center"/>
    </xf>
    <xf numFmtId="167" fontId="23" fillId="11" borderId="44" xfId="13" applyNumberFormat="1" applyFont="1" applyFill="1" applyBorder="1" applyAlignment="1">
      <alignment horizontal="center" vertical="center"/>
    </xf>
    <xf numFmtId="0" fontId="25" fillId="0" borderId="43" xfId="13" applyFont="1" applyBorder="1" applyAlignment="1">
      <alignment vertical="center"/>
    </xf>
    <xf numFmtId="0" fontId="25" fillId="0" borderId="27" xfId="13" applyFont="1" applyBorder="1" applyAlignment="1">
      <alignment vertical="center"/>
    </xf>
    <xf numFmtId="0" fontId="25" fillId="0" borderId="0" xfId="13" applyFont="1" applyBorder="1" applyAlignment="1">
      <alignment vertical="center"/>
    </xf>
    <xf numFmtId="0" fontId="25" fillId="0" borderId="47" xfId="13" applyFont="1" applyBorder="1" applyAlignment="1">
      <alignment vertical="center"/>
    </xf>
    <xf numFmtId="0" fontId="25" fillId="0" borderId="42" xfId="13" applyFont="1" applyBorder="1" applyAlignment="1">
      <alignment vertical="center"/>
    </xf>
    <xf numFmtId="0" fontId="25" fillId="0" borderId="41" xfId="13" applyFont="1" applyBorder="1" applyAlignment="1">
      <alignment vertical="center"/>
    </xf>
    <xf numFmtId="0" fontId="25" fillId="0" borderId="40" xfId="13" applyFont="1" applyBorder="1" applyAlignment="1">
      <alignment vertical="center"/>
    </xf>
    <xf numFmtId="167" fontId="23" fillId="12" borderId="37" xfId="13" applyNumberFormat="1" applyFont="1" applyFill="1" applyBorder="1" applyAlignment="1">
      <alignment horizontal="center" vertical="center"/>
    </xf>
    <xf numFmtId="167" fontId="23" fillId="11" borderId="35" xfId="13" applyNumberFormat="1" applyFont="1" applyFill="1" applyBorder="1" applyAlignment="1">
      <alignment horizontal="center" vertical="center"/>
    </xf>
    <xf numFmtId="0" fontId="25" fillId="0" borderId="34" xfId="13" applyFont="1" applyBorder="1" applyAlignment="1">
      <alignment vertical="center"/>
    </xf>
    <xf numFmtId="0" fontId="26" fillId="0" borderId="33" xfId="13" applyFont="1" applyBorder="1" applyAlignment="1">
      <alignment horizontal="center" vertical="center"/>
    </xf>
    <xf numFmtId="0" fontId="29" fillId="0" borderId="32" xfId="13" applyFont="1" applyFill="1" applyBorder="1" applyAlignment="1">
      <alignment vertical="center"/>
    </xf>
    <xf numFmtId="0" fontId="27" fillId="0" borderId="29" xfId="13" applyFont="1" applyBorder="1" applyAlignment="1">
      <alignment horizontal="center" vertical="center" wrapText="1"/>
    </xf>
    <xf numFmtId="0" fontId="28" fillId="0" borderId="30" xfId="13" applyFont="1" applyBorder="1" applyAlignment="1">
      <alignment horizontal="center" vertical="center"/>
    </xf>
    <xf numFmtId="0" fontId="23" fillId="10" borderId="31" xfId="13" applyFont="1" applyFill="1" applyBorder="1" applyAlignment="1">
      <alignment horizontal="center" vertical="center" wrapText="1"/>
    </xf>
    <xf numFmtId="0" fontId="23" fillId="10" borderId="29" xfId="13" applyFont="1" applyFill="1" applyBorder="1" applyAlignment="1">
      <alignment horizontal="center" vertical="center" wrapText="1"/>
    </xf>
    <xf numFmtId="0" fontId="27" fillId="0" borderId="31" xfId="13" applyFont="1" applyBorder="1" applyAlignment="1">
      <alignment horizontal="center" vertical="center" wrapText="1"/>
    </xf>
    <xf numFmtId="0" fontId="26" fillId="0" borderId="28" xfId="13" applyFont="1" applyBorder="1" applyAlignment="1">
      <alignment horizontal="center" vertical="center"/>
    </xf>
    <xf numFmtId="0" fontId="25" fillId="0" borderId="0" xfId="13" applyFont="1" applyBorder="1" applyAlignment="1" applyProtection="1">
      <alignment vertical="center"/>
      <protection locked="0"/>
    </xf>
    <xf numFmtId="0" fontId="24" fillId="0" borderId="0" xfId="13" applyNumberFormat="1" applyFont="1" applyFill="1" applyAlignment="1">
      <alignment vertical="center"/>
    </xf>
    <xf numFmtId="14" fontId="17" fillId="0" borderId="0" xfId="13" applyNumberFormat="1" applyFont="1" applyAlignment="1">
      <alignment vertical="center"/>
    </xf>
    <xf numFmtId="0" fontId="23" fillId="0" borderId="0" xfId="13" applyFont="1" applyBorder="1" applyAlignment="1" applyProtection="1">
      <alignment horizontal="center" vertical="center"/>
      <protection locked="0"/>
    </xf>
    <xf numFmtId="0" fontId="19" fillId="0" borderId="28" xfId="13" applyFont="1" applyBorder="1" applyAlignment="1" applyProtection="1">
      <alignment vertical="center"/>
      <protection locked="0"/>
    </xf>
    <xf numFmtId="0" fontId="18" fillId="0" borderId="0" xfId="13" applyFont="1"/>
    <xf numFmtId="166" fontId="21" fillId="0" borderId="25" xfId="13" applyNumberFormat="1" applyFont="1" applyFill="1" applyBorder="1" applyAlignment="1">
      <alignment horizontal="center" vertical="center"/>
    </xf>
    <xf numFmtId="0" fontId="21" fillId="0" borderId="25" xfId="13" applyFont="1" applyFill="1" applyBorder="1" applyAlignment="1">
      <alignment horizontal="center" vertical="center"/>
    </xf>
    <xf numFmtId="0" fontId="21" fillId="0" borderId="18" xfId="13" applyFont="1" applyFill="1" applyBorder="1" applyAlignment="1">
      <alignment horizontal="center" vertical="center"/>
    </xf>
    <xf numFmtId="0" fontId="19" fillId="0" borderId="0" xfId="13" applyFont="1" applyFill="1" applyAlignment="1">
      <alignment horizontal="left" vertical="center"/>
    </xf>
    <xf numFmtId="0" fontId="0" fillId="0" borderId="0" xfId="0" applyAlignment="1"/>
    <xf numFmtId="0" fontId="0" fillId="0" borderId="56" xfId="0" applyBorder="1" applyAlignment="1"/>
    <xf numFmtId="0" fontId="0" fillId="0" borderId="56" xfId="0" applyBorder="1" applyAlignment="1">
      <alignment horizontal="center"/>
    </xf>
    <xf numFmtId="14" fontId="0" fillId="0" borderId="56" xfId="0" applyNumberFormat="1" applyBorder="1" applyAlignment="1">
      <alignment horizontal="center"/>
    </xf>
    <xf numFmtId="0" fontId="0" fillId="0" borderId="0" xfId="0" applyAlignment="1">
      <alignment horizontal="center" vertical="center" shrinkToFit="1"/>
    </xf>
    <xf numFmtId="0" fontId="25" fillId="0" borderId="45" xfId="13" applyFont="1" applyBorder="1" applyAlignment="1">
      <alignment horizontal="center" vertical="center" shrinkToFit="1"/>
    </xf>
    <xf numFmtId="0" fontId="25" fillId="0" borderId="53" xfId="13" applyFont="1" applyBorder="1" applyAlignment="1">
      <alignment horizontal="center" vertical="center" shrinkToFit="1"/>
    </xf>
    <xf numFmtId="0" fontId="25" fillId="0" borderId="36" xfId="13" applyFont="1" applyBorder="1" applyAlignment="1">
      <alignment horizontal="center" vertical="center" shrinkToFit="1"/>
    </xf>
    <xf numFmtId="0" fontId="15" fillId="0" borderId="5" xfId="9" applyNumberFormat="1" applyFont="1" applyBorder="1" applyAlignment="1">
      <alignment horizontal="center" vertical="center" wrapText="1"/>
    </xf>
    <xf numFmtId="0" fontId="15" fillId="0" borderId="0" xfId="9" applyNumberFormat="1" applyFont="1" applyBorder="1" applyAlignment="1">
      <alignment horizontal="center" vertical="center" wrapText="1"/>
    </xf>
    <xf numFmtId="0" fontId="15" fillId="0" borderId="18" xfId="9" applyNumberFormat="1" applyFont="1" applyBorder="1" applyAlignment="1">
      <alignment horizontal="center" vertical="center" wrapText="1"/>
    </xf>
    <xf numFmtId="0" fontId="15" fillId="0" borderId="19" xfId="9" applyNumberFormat="1" applyFont="1" applyBorder="1" applyAlignment="1">
      <alignment horizontal="center" vertical="center" wrapText="1"/>
    </xf>
    <xf numFmtId="0" fontId="15" fillId="0" borderId="16" xfId="9" applyNumberFormat="1" applyFont="1" applyBorder="1" applyAlignment="1">
      <alignment horizontal="center" vertical="center" wrapText="1"/>
    </xf>
    <xf numFmtId="0" fontId="15" fillId="0" borderId="17" xfId="9" applyNumberFormat="1" applyFont="1" applyBorder="1" applyAlignment="1">
      <alignment horizontal="center" vertical="center" wrapText="1"/>
    </xf>
    <xf numFmtId="0" fontId="11" fillId="0" borderId="0" xfId="10" applyAlignment="1">
      <alignment horizontal="center" vertical="center"/>
    </xf>
    <xf numFmtId="165" fontId="14" fillId="0" borderId="7" xfId="9" applyFont="1" applyBorder="1">
      <alignment horizontal="left" vertical="center" wrapText="1" indent="1"/>
    </xf>
    <xf numFmtId="165" fontId="14" fillId="0" borderId="13" xfId="9" applyFont="1" applyBorder="1">
      <alignment horizontal="left" vertical="center" wrapText="1" indent="1"/>
    </xf>
    <xf numFmtId="0" fontId="11" fillId="2" borderId="0" xfId="0" applyFont="1" applyFill="1" applyAlignment="1">
      <alignment horizontal="center" vertical="center" shrinkToFit="1"/>
    </xf>
    <xf numFmtId="0" fontId="0" fillId="0" borderId="5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4" fillId="0" borderId="0" xfId="13" applyFont="1" applyAlignment="1">
      <alignment horizontal="center" vertical="center"/>
    </xf>
    <xf numFmtId="0" fontId="24" fillId="0" borderId="0" xfId="13" applyFont="1" applyAlignment="1">
      <alignment horizontal="center"/>
    </xf>
    <xf numFmtId="0" fontId="17" fillId="0" borderId="0" xfId="13" applyFont="1" applyAlignment="1">
      <alignment horizontal="center"/>
    </xf>
    <xf numFmtId="0" fontId="21" fillId="0" borderId="25" xfId="13" applyFont="1" applyFill="1" applyBorder="1" applyAlignment="1">
      <alignment horizontal="center" vertical="center"/>
    </xf>
    <xf numFmtId="0" fontId="21" fillId="0" borderId="26" xfId="13" applyFont="1" applyFill="1" applyBorder="1" applyAlignment="1">
      <alignment horizontal="center" vertical="center"/>
    </xf>
    <xf numFmtId="49" fontId="24" fillId="0" borderId="0" xfId="13" applyNumberFormat="1" applyFont="1" applyFill="1" applyAlignment="1">
      <alignment horizontal="center" vertical="center"/>
    </xf>
    <xf numFmtId="166" fontId="21" fillId="0" borderId="25" xfId="13" applyNumberFormat="1" applyFont="1" applyFill="1" applyBorder="1" applyAlignment="1">
      <alignment horizontal="center" vertical="center"/>
    </xf>
    <xf numFmtId="0" fontId="22" fillId="0" borderId="0" xfId="13" applyFont="1" applyAlignment="1">
      <alignment horizontal="center" vertical="center"/>
    </xf>
    <xf numFmtId="0" fontId="22" fillId="0" borderId="27" xfId="13" applyFont="1" applyBorder="1" applyAlignment="1">
      <alignment horizontal="center" vertical="center"/>
    </xf>
    <xf numFmtId="0" fontId="20" fillId="0" borderId="0" xfId="13" applyFont="1" applyFill="1" applyAlignment="1">
      <alignment horizontal="center" vertical="center"/>
    </xf>
    <xf numFmtId="0" fontId="20" fillId="0" borderId="0" xfId="13" applyFont="1" applyFill="1" applyBorder="1" applyAlignment="1">
      <alignment horizontal="center" vertical="center"/>
    </xf>
    <xf numFmtId="0" fontId="24" fillId="0" borderId="0" xfId="13" applyFont="1" applyAlignment="1">
      <alignment horizontal="center" vertical="center" wrapText="1"/>
    </xf>
  </cellXfs>
  <cellStyles count="14">
    <cellStyle name="40 % - Accent1" xfId="1" builtinId="31" customBuiltin="1"/>
    <cellStyle name="Accent1" xfId="3" builtinId="29" customBuiltin="1"/>
    <cellStyle name="Accent5" xfId="4" builtinId="45" customBuiltin="1"/>
    <cellStyle name="Day" xfId="6"/>
    <cellStyle name="Day Detail" xfId="7"/>
    <cellStyle name="Day Header 1" xfId="5"/>
    <cellStyle name="Day Header 2" xfId="12"/>
    <cellStyle name="Hidden" xfId="11"/>
    <cellStyle name="Month" xfId="10"/>
    <cellStyle name="Normal" xfId="0" builtinId="0" customBuiltin="1"/>
    <cellStyle name="Normal 2" xfId="13"/>
    <cellStyle name="Notes" xfId="8"/>
    <cellStyle name="Notes Header" xfId="9"/>
    <cellStyle name="Titre 1" xfId="2" builtinId="16" customBuiltin="1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16" fmlaLink="$A$1" max="2999" min="1900" page="10" val="2014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390525</xdr:rowOff>
        </xdr:from>
        <xdr:to>
          <xdr:col>2</xdr:col>
          <xdr:colOff>381000</xdr:colOff>
          <xdr:row>0</xdr:row>
          <xdr:rowOff>628650</xdr:rowOff>
        </xdr:to>
        <xdr:sp macro="" textlink="">
          <xdr:nvSpPr>
            <xdr:cNvPr id="1038" name="Year Spinner" descr="Cliquez sur les flèches Haut et Bas pour changer l'année du calendrier. Ou, tapez l’année souhaitée dans la cellule A1.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93239</xdr:colOff>
      <xdr:row>0</xdr:row>
      <xdr:rowOff>240830</xdr:rowOff>
    </xdr:from>
    <xdr:to>
      <xdr:col>2</xdr:col>
      <xdr:colOff>128362</xdr:colOff>
      <xdr:row>1</xdr:row>
      <xdr:rowOff>21755</xdr:rowOff>
    </xdr:to>
    <xdr:grpSp>
      <xdr:nvGrpSpPr>
        <xdr:cNvPr id="4" name="Month 1 Year" descr="Affiche l’année du mois en cours." title="Affichage de l’année"/>
        <xdr:cNvGrpSpPr/>
      </xdr:nvGrpSpPr>
      <xdr:grpSpPr>
        <a:xfrm rot="5027594">
          <a:off x="948321" y="-437359"/>
          <a:ext cx="461282" cy="1817659"/>
          <a:chOff x="371475" y="0"/>
          <a:chExt cx="457200" cy="990600"/>
        </a:xfrm>
      </xdr:grpSpPr>
      <xdr:sp macro="" textlink="">
        <xdr:nvSpPr>
          <xdr:cNvPr id="8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Calendar1Year">
        <xdr:nvSpPr>
          <xdr:cNvPr id="3" name="TextBox 2"/>
          <xdr:cNvSpPr txBox="1"/>
        </xdr:nvSpPr>
        <xdr:spPr>
          <a:xfrm rot="16200000">
            <a:off x="222703" y="273636"/>
            <a:ext cx="75474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15145F5F-D58C-4182-B5B8-D41ECE9C7CC2}" type="TxLink">
              <a:rPr lang="en-US" sz="2100">
                <a:solidFill>
                  <a:schemeClr val="bg1"/>
                </a:solidFill>
                <a:latin typeface="+mj-lt"/>
              </a:rPr>
              <a:pPr algn="l"/>
              <a:t>2014</a:t>
            </a:fld>
            <a:endParaRPr lang="en-US" sz="21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3</xdr:row>
          <xdr:rowOff>161925</xdr:rowOff>
        </xdr:from>
        <xdr:to>
          <xdr:col>14</xdr:col>
          <xdr:colOff>428625</xdr:colOff>
          <xdr:row>7</xdr:row>
          <xdr:rowOff>57150</xdr:rowOff>
        </xdr:to>
        <xdr:sp macro="" textlink="">
          <xdr:nvSpPr>
            <xdr:cNvPr id="1039" name="CommandButto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0</xdr:row>
          <xdr:rowOff>476250</xdr:rowOff>
        </xdr:from>
        <xdr:to>
          <xdr:col>14</xdr:col>
          <xdr:colOff>428625</xdr:colOff>
          <xdr:row>3</xdr:row>
          <xdr:rowOff>28575</xdr:rowOff>
        </xdr:to>
        <xdr:sp macro="" textlink="">
          <xdr:nvSpPr>
            <xdr:cNvPr id="1040" name="CommandButton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16</xdr:row>
          <xdr:rowOff>66675</xdr:rowOff>
        </xdr:from>
        <xdr:to>
          <xdr:col>14</xdr:col>
          <xdr:colOff>428625</xdr:colOff>
          <xdr:row>19</xdr:row>
          <xdr:rowOff>152400</xdr:rowOff>
        </xdr:to>
        <xdr:sp macro="" textlink="">
          <xdr:nvSpPr>
            <xdr:cNvPr id="1041" name="CommandButton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24</xdr:row>
          <xdr:rowOff>171450</xdr:rowOff>
        </xdr:from>
        <xdr:to>
          <xdr:col>14</xdr:col>
          <xdr:colOff>476250</xdr:colOff>
          <xdr:row>28</xdr:row>
          <xdr:rowOff>85725</xdr:rowOff>
        </xdr:to>
        <xdr:sp macro="" textlink="">
          <xdr:nvSpPr>
            <xdr:cNvPr id="1050" name="CommandButton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20</xdr:row>
          <xdr:rowOff>133350</xdr:rowOff>
        </xdr:from>
        <xdr:to>
          <xdr:col>14</xdr:col>
          <xdr:colOff>457200</xdr:colOff>
          <xdr:row>24</xdr:row>
          <xdr:rowOff>28575</xdr:rowOff>
        </xdr:to>
        <xdr:sp macro="" textlink="">
          <xdr:nvSpPr>
            <xdr:cNvPr id="1051" name="CommandButton6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0</xdr:row>
          <xdr:rowOff>200025</xdr:rowOff>
        </xdr:from>
        <xdr:to>
          <xdr:col>9</xdr:col>
          <xdr:colOff>28575</xdr:colOff>
          <xdr:row>1</xdr:row>
          <xdr:rowOff>57150</xdr:rowOff>
        </xdr:to>
        <xdr:sp macro="" textlink="">
          <xdr:nvSpPr>
            <xdr:cNvPr id="1053" name="ComboBox1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12</xdr:row>
          <xdr:rowOff>28575</xdr:rowOff>
        </xdr:from>
        <xdr:to>
          <xdr:col>14</xdr:col>
          <xdr:colOff>438150</xdr:colOff>
          <xdr:row>15</xdr:row>
          <xdr:rowOff>114300</xdr:rowOff>
        </xdr:to>
        <xdr:sp macro="" textlink="">
          <xdr:nvSpPr>
            <xdr:cNvPr id="1055" name="CommandButton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8</xdr:row>
          <xdr:rowOff>0</xdr:rowOff>
        </xdr:from>
        <xdr:to>
          <xdr:col>14</xdr:col>
          <xdr:colOff>428625</xdr:colOff>
          <xdr:row>11</xdr:row>
          <xdr:rowOff>76200</xdr:rowOff>
        </xdr:to>
        <xdr:sp macro="" textlink="">
          <xdr:nvSpPr>
            <xdr:cNvPr id="1075" name="CommandButton8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Academic Calendar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125_academic_calendar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AN33"/>
  <sheetViews>
    <sheetView showGridLines="0" tabSelected="1" zoomScale="70" zoomScaleNormal="70" workbookViewId="0">
      <selection activeCell="E14" sqref="E14"/>
    </sheetView>
  </sheetViews>
  <sheetFormatPr baseColWidth="10" defaultColWidth="8.85546875" defaultRowHeight="12.75" x14ac:dyDescent="0.25"/>
  <cols>
    <col min="1" max="1" width="2.5703125" style="9" customWidth="1"/>
    <col min="2" max="2" width="26.7109375" style="9" customWidth="1"/>
    <col min="3" max="8" width="26.7109375" style="9" bestFit="1" customWidth="1"/>
    <col min="9" max="9" width="2.5703125" style="9" customWidth="1"/>
    <col min="10" max="14" width="8.85546875" style="9"/>
    <col min="15" max="15" width="8.85546875" style="9" customWidth="1"/>
    <col min="16" max="16" width="3.5703125" style="9" hidden="1" customWidth="1"/>
    <col min="17" max="17" width="8.85546875" style="9"/>
    <col min="18" max="18" width="8.42578125" style="9" customWidth="1"/>
    <col min="19" max="19" width="8.85546875" style="9" customWidth="1"/>
    <col min="20" max="39" width="8.85546875" style="9"/>
    <col min="40" max="40" width="0" style="9" hidden="1" customWidth="1"/>
    <col min="41" max="16384" width="8.85546875" style="9"/>
  </cols>
  <sheetData>
    <row r="1" spans="1:40" s="1" customFormat="1" ht="54" customHeight="1" x14ac:dyDescent="0.25">
      <c r="A1" s="7">
        <v>2014</v>
      </c>
      <c r="D1" s="114" t="s">
        <v>89</v>
      </c>
      <c r="E1" s="114"/>
      <c r="F1" s="117"/>
      <c r="G1" s="117"/>
      <c r="H1" s="117"/>
      <c r="P1" s="1">
        <v>1</v>
      </c>
      <c r="AN1" s="1" t="s">
        <v>513</v>
      </c>
    </row>
    <row r="2" spans="1:40" s="1" customFormat="1" ht="20.25" customHeight="1" x14ac:dyDescent="0.8">
      <c r="B2" s="6"/>
      <c r="C2"/>
      <c r="D2" s="4"/>
      <c r="E2" s="4"/>
      <c r="F2" s="4"/>
      <c r="G2" s="4"/>
    </row>
    <row r="3" spans="1:40" s="3" customFormat="1" ht="14.25" customHeight="1" x14ac:dyDescent="0.3">
      <c r="A3" s="2"/>
      <c r="B3" s="5" t="s">
        <v>1</v>
      </c>
      <c r="C3" s="8" t="str">
        <f>UPPER(TEXT(C4,"jjjj"))</f>
        <v>MARDI</v>
      </c>
      <c r="D3" s="5" t="str">
        <f t="shared" ref="D3:H3" si="0">UPPER(TEXT(D4,"jjjj"))</f>
        <v>MERCREDI</v>
      </c>
      <c r="E3" s="8" t="str">
        <f t="shared" si="0"/>
        <v>JEUDI</v>
      </c>
      <c r="F3" s="5" t="str">
        <f t="shared" si="0"/>
        <v>VENDREDI</v>
      </c>
      <c r="G3" s="8" t="str">
        <f t="shared" si="0"/>
        <v>SAMEDI</v>
      </c>
      <c r="H3" s="5" t="str">
        <f t="shared" si="0"/>
        <v>DIMANCHE</v>
      </c>
      <c r="I3" s="3" t="s">
        <v>2</v>
      </c>
    </row>
    <row r="4" spans="1:40" customFormat="1" ht="16.5" customHeight="1" x14ac:dyDescent="0.25">
      <c r="A4" s="1"/>
      <c r="B4" s="20">
        <f t="array" ref="B4:H4">Jours+1+DATE(Calendar1Year,Calendar1MonthOption,1)-WEEKDAY(DATE(Calendar1Year,Calendar1MonthOption,1),WeekdayOption)</f>
        <v>41694</v>
      </c>
      <c r="C4" s="21">
        <v>41695</v>
      </c>
      <c r="D4" s="21">
        <v>41696</v>
      </c>
      <c r="E4" s="21">
        <v>41697</v>
      </c>
      <c r="F4" s="21">
        <v>41698</v>
      </c>
      <c r="G4" s="21">
        <v>41699</v>
      </c>
      <c r="H4" s="22">
        <v>41700</v>
      </c>
    </row>
    <row r="5" spans="1:40" customFormat="1" ht="15" customHeight="1" x14ac:dyDescent="0.25">
      <c r="A5" s="1"/>
      <c r="B5" s="13"/>
      <c r="C5" s="14"/>
      <c r="D5" s="14"/>
      <c r="E5" s="14"/>
      <c r="F5" s="14"/>
      <c r="G5" s="25"/>
      <c r="H5" s="31"/>
    </row>
    <row r="6" spans="1:40" customFormat="1" ht="15" customHeight="1" x14ac:dyDescent="0.25">
      <c r="A6" s="1"/>
      <c r="B6" s="15"/>
      <c r="C6" s="11"/>
      <c r="D6" s="11"/>
      <c r="E6" s="11"/>
      <c r="F6" s="11"/>
      <c r="G6" s="26"/>
      <c r="H6" s="32"/>
    </row>
    <row r="7" spans="1:40" customFormat="1" ht="15" customHeight="1" x14ac:dyDescent="0.25">
      <c r="A7" s="1"/>
      <c r="B7" s="13"/>
      <c r="C7" s="14"/>
      <c r="D7" s="14"/>
      <c r="E7" s="14"/>
      <c r="F7" s="14"/>
      <c r="G7" s="25"/>
      <c r="H7" s="31"/>
    </row>
    <row r="8" spans="1:40" customFormat="1" ht="15" customHeight="1" x14ac:dyDescent="0.25">
      <c r="A8" s="1"/>
      <c r="B8" s="16"/>
      <c r="C8" s="17"/>
      <c r="D8" s="17"/>
      <c r="E8" s="17"/>
      <c r="F8" s="17"/>
      <c r="G8" s="27"/>
      <c r="H8" s="34"/>
    </row>
    <row r="9" spans="1:40" customFormat="1" ht="16.5" customHeight="1" x14ac:dyDescent="0.25">
      <c r="A9" s="1"/>
      <c r="B9" s="23">
        <f t="array" ref="B9:H9">Jours+8+DATE(Calendar1Year,Calendar1MonthOption,1)-WEEKDAY(DATE(Calendar1Year,Calendar1MonthOption,1),WeekdayOption)</f>
        <v>41701</v>
      </c>
      <c r="C9" s="24">
        <v>41702</v>
      </c>
      <c r="D9" s="24">
        <v>41703</v>
      </c>
      <c r="E9" s="24">
        <v>41704</v>
      </c>
      <c r="F9" s="24">
        <v>41705</v>
      </c>
      <c r="G9" s="28">
        <v>41706</v>
      </c>
      <c r="H9" s="29">
        <v>41707</v>
      </c>
    </row>
    <row r="10" spans="1:40" customFormat="1" ht="15" customHeight="1" x14ac:dyDescent="0.25">
      <c r="A10" s="1"/>
      <c r="B10" s="35"/>
      <c r="C10" s="36"/>
      <c r="D10" s="36"/>
      <c r="E10" s="36"/>
      <c r="F10" s="36"/>
      <c r="G10" s="37"/>
      <c r="H10" s="38"/>
    </row>
    <row r="11" spans="1:40" customFormat="1" ht="15" customHeight="1" x14ac:dyDescent="0.25">
      <c r="A11" s="1"/>
      <c r="B11" s="39"/>
      <c r="C11" s="12"/>
      <c r="D11" s="12"/>
      <c r="E11" s="12"/>
      <c r="F11" s="12"/>
      <c r="G11" s="40"/>
      <c r="H11" s="41"/>
    </row>
    <row r="12" spans="1:40" customFormat="1" ht="15" customHeight="1" x14ac:dyDescent="0.25">
      <c r="A12" s="1"/>
      <c r="B12" s="35"/>
      <c r="C12" s="36"/>
      <c r="D12" s="36"/>
      <c r="E12" s="36"/>
      <c r="F12" s="36"/>
      <c r="G12" s="37"/>
      <c r="H12" s="38"/>
    </row>
    <row r="13" spans="1:40" customFormat="1" ht="15" customHeight="1" x14ac:dyDescent="0.25">
      <c r="A13" s="1"/>
      <c r="B13" s="42"/>
      <c r="C13" s="43"/>
      <c r="D13" s="43"/>
      <c r="E13" s="43"/>
      <c r="F13" s="43"/>
      <c r="G13" s="44"/>
      <c r="H13" s="45"/>
    </row>
    <row r="14" spans="1:40" customFormat="1" ht="16.5" customHeight="1" x14ac:dyDescent="0.25">
      <c r="A14" s="1"/>
      <c r="B14" s="23">
        <f t="array" ref="B14:H14">Jours+15+DATE(Calendar1Year,Calendar1MonthOption,1)-WEEKDAY(DATE(Calendar1Year,Calendar1MonthOption,1),WeekdayOption)</f>
        <v>41708</v>
      </c>
      <c r="C14" s="24">
        <v>41709</v>
      </c>
      <c r="D14" s="24">
        <v>41710</v>
      </c>
      <c r="E14" s="24">
        <v>41711</v>
      </c>
      <c r="F14" s="24">
        <v>41712</v>
      </c>
      <c r="G14" s="28">
        <v>41713</v>
      </c>
      <c r="H14" s="30">
        <v>41714</v>
      </c>
    </row>
    <row r="15" spans="1:40" customFormat="1" ht="15" customHeight="1" x14ac:dyDescent="0.25">
      <c r="A15" s="1"/>
      <c r="B15" s="13"/>
      <c r="C15" s="14"/>
      <c r="D15" s="14"/>
      <c r="E15" s="14"/>
      <c r="F15" s="14"/>
      <c r="G15" s="25"/>
      <c r="H15" s="31"/>
    </row>
    <row r="16" spans="1:40" customFormat="1" ht="15" customHeight="1" x14ac:dyDescent="0.25">
      <c r="A16" s="1"/>
      <c r="B16" s="15"/>
      <c r="C16" s="11"/>
      <c r="D16" s="11"/>
      <c r="E16" s="11"/>
      <c r="F16" s="11"/>
      <c r="G16" s="26"/>
      <c r="H16" s="32"/>
    </row>
    <row r="17" spans="1:8" customFormat="1" ht="15" customHeight="1" x14ac:dyDescent="0.25">
      <c r="A17" s="1"/>
      <c r="B17" s="13"/>
      <c r="C17" s="14"/>
      <c r="D17" s="14"/>
      <c r="E17" s="14"/>
      <c r="F17" s="14"/>
      <c r="G17" s="25"/>
      <c r="H17" s="31"/>
    </row>
    <row r="18" spans="1:8" customFormat="1" ht="15" customHeight="1" x14ac:dyDescent="0.25">
      <c r="A18" s="1"/>
      <c r="B18" s="16"/>
      <c r="C18" s="17"/>
      <c r="D18" s="17"/>
      <c r="E18" s="17"/>
      <c r="F18" s="17"/>
      <c r="G18" s="27"/>
      <c r="H18" s="33"/>
    </row>
    <row r="19" spans="1:8" customFormat="1" ht="16.5" customHeight="1" x14ac:dyDescent="0.25">
      <c r="A19" s="1"/>
      <c r="B19" s="23">
        <f t="array" ref="B19:H19">Jours+22+DATE(Calendar1Year,Calendar1MonthOption,1)-WEEKDAY(DATE(Calendar1Year,Calendar1MonthOption,1),WeekdayOption)</f>
        <v>41715</v>
      </c>
      <c r="C19" s="24">
        <v>41716</v>
      </c>
      <c r="D19" s="24">
        <v>41717</v>
      </c>
      <c r="E19" s="24">
        <v>41718</v>
      </c>
      <c r="F19" s="24">
        <v>41719</v>
      </c>
      <c r="G19" s="28">
        <v>41720</v>
      </c>
      <c r="H19" s="30">
        <v>41721</v>
      </c>
    </row>
    <row r="20" spans="1:8" customFormat="1" ht="15" customHeight="1" x14ac:dyDescent="0.25">
      <c r="A20" s="1"/>
      <c r="B20" s="13"/>
      <c r="C20" s="14"/>
      <c r="D20" s="14"/>
      <c r="E20" s="14"/>
      <c r="F20" s="14"/>
      <c r="G20" s="25"/>
      <c r="H20" s="31"/>
    </row>
    <row r="21" spans="1:8" customFormat="1" ht="15" customHeight="1" x14ac:dyDescent="0.25">
      <c r="A21" s="1"/>
      <c r="B21" s="15"/>
      <c r="C21" s="11"/>
      <c r="D21" s="11"/>
      <c r="E21" s="11"/>
      <c r="F21" s="11"/>
      <c r="G21" s="26"/>
      <c r="H21" s="32"/>
    </row>
    <row r="22" spans="1:8" customFormat="1" ht="15" customHeight="1" x14ac:dyDescent="0.25">
      <c r="A22" s="1"/>
      <c r="B22" s="13"/>
      <c r="C22" s="14"/>
      <c r="D22" s="14"/>
      <c r="E22" s="14"/>
      <c r="F22" s="14"/>
      <c r="G22" s="25"/>
      <c r="H22" s="31"/>
    </row>
    <row r="23" spans="1:8" customFormat="1" ht="15" customHeight="1" x14ac:dyDescent="0.25">
      <c r="A23" s="1"/>
      <c r="B23" s="16"/>
      <c r="C23" s="17"/>
      <c r="D23" s="17"/>
      <c r="E23" s="17"/>
      <c r="F23" s="17"/>
      <c r="G23" s="27"/>
      <c r="H23" s="33"/>
    </row>
    <row r="24" spans="1:8" customFormat="1" ht="16.5" customHeight="1" x14ac:dyDescent="0.25">
      <c r="A24" s="1"/>
      <c r="B24" s="23">
        <f t="array" ref="B24:H24">Jours+29+DATE(Calendar1Year,Calendar1MonthOption,1)-WEEKDAY(DATE(Calendar1Year,Calendar1MonthOption,1),WeekdayOption)</f>
        <v>41722</v>
      </c>
      <c r="C24" s="24">
        <v>41723</v>
      </c>
      <c r="D24" s="24">
        <v>41724</v>
      </c>
      <c r="E24" s="24">
        <v>41725</v>
      </c>
      <c r="F24" s="24">
        <v>41726</v>
      </c>
      <c r="G24" s="28">
        <v>41727</v>
      </c>
      <c r="H24" s="30">
        <v>41728</v>
      </c>
    </row>
    <row r="25" spans="1:8" customFormat="1" ht="15" customHeight="1" x14ac:dyDescent="0.25">
      <c r="A25" s="1"/>
      <c r="B25" s="13"/>
      <c r="C25" s="14"/>
      <c r="D25" s="14"/>
      <c r="E25" s="14"/>
      <c r="F25" s="14"/>
      <c r="G25" s="25"/>
      <c r="H25" s="31"/>
    </row>
    <row r="26" spans="1:8" customFormat="1" ht="15" customHeight="1" x14ac:dyDescent="0.25">
      <c r="A26" s="1"/>
      <c r="B26" s="15"/>
      <c r="C26" s="11"/>
      <c r="D26" s="11"/>
      <c r="E26" s="11"/>
      <c r="F26" s="11"/>
      <c r="G26" s="26"/>
      <c r="H26" s="32"/>
    </row>
    <row r="27" spans="1:8" customFormat="1" ht="15" customHeight="1" x14ac:dyDescent="0.25">
      <c r="A27" s="1"/>
      <c r="B27" s="13"/>
      <c r="C27" s="14"/>
      <c r="D27" s="14"/>
      <c r="E27" s="14"/>
      <c r="F27" s="14"/>
      <c r="G27" s="25"/>
      <c r="H27" s="31"/>
    </row>
    <row r="28" spans="1:8" customFormat="1" ht="15" customHeight="1" x14ac:dyDescent="0.25">
      <c r="A28" s="1"/>
      <c r="B28" s="16"/>
      <c r="C28" s="17"/>
      <c r="D28" s="17"/>
      <c r="E28" s="17"/>
      <c r="F28" s="17"/>
      <c r="G28" s="27"/>
      <c r="H28" s="34"/>
    </row>
    <row r="29" spans="1:8" customFormat="1" ht="16.5" customHeight="1" x14ac:dyDescent="0.25">
      <c r="A29" s="1"/>
      <c r="B29" s="23">
        <f t="array" ref="B29:C29">Jours+36+DATE(Calendar1Year,Calendar1MonthOption,1)-WEEKDAY(DATE(Calendar1Year,Calendar1MonthOption,1),WeekdayOption)</f>
        <v>41729</v>
      </c>
      <c r="C29" s="24">
        <v>41730</v>
      </c>
      <c r="D29" s="115" t="s">
        <v>0</v>
      </c>
      <c r="E29" s="115"/>
      <c r="F29" s="115"/>
      <c r="G29" s="115"/>
      <c r="H29" s="116"/>
    </row>
    <row r="30" spans="1:8" customFormat="1" ht="15" customHeight="1" x14ac:dyDescent="0.25">
      <c r="A30" s="1"/>
      <c r="B30" s="13"/>
      <c r="C30" s="14"/>
      <c r="D30" s="108"/>
      <c r="E30" s="109"/>
      <c r="F30" s="109"/>
      <c r="G30" s="109"/>
      <c r="H30" s="110"/>
    </row>
    <row r="31" spans="1:8" customFormat="1" ht="15" customHeight="1" x14ac:dyDescent="0.25">
      <c r="A31" s="1"/>
      <c r="B31" s="15"/>
      <c r="C31" s="11"/>
      <c r="D31" s="108"/>
      <c r="E31" s="109"/>
      <c r="F31" s="109"/>
      <c r="G31" s="109"/>
      <c r="H31" s="110"/>
    </row>
    <row r="32" spans="1:8" customFormat="1" ht="15" customHeight="1" x14ac:dyDescent="0.25">
      <c r="A32" s="1"/>
      <c r="B32" s="13"/>
      <c r="C32" s="14"/>
      <c r="D32" s="108"/>
      <c r="E32" s="109"/>
      <c r="F32" s="109"/>
      <c r="G32" s="109"/>
      <c r="H32" s="110"/>
    </row>
    <row r="33" spans="1:8" customFormat="1" ht="15" customHeight="1" x14ac:dyDescent="0.25">
      <c r="A33" s="1"/>
      <c r="B33" s="18"/>
      <c r="C33" s="19"/>
      <c r="D33" s="111"/>
      <c r="E33" s="112"/>
      <c r="F33" s="112"/>
      <c r="G33" s="112"/>
      <c r="H33" s="113"/>
    </row>
  </sheetData>
  <sheetProtection formatCells="0"/>
  <mergeCells count="4">
    <mergeCell ref="D30:H33"/>
    <mergeCell ref="D1:E1"/>
    <mergeCell ref="D29:H29"/>
    <mergeCell ref="F1:H1"/>
  </mergeCells>
  <phoneticPr fontId="1" type="noConversion"/>
  <conditionalFormatting sqref="B9:H9 B14:H14 B19:H19 B24:H24 B29:C29 B4:H7">
    <cfRule type="expression" dxfId="5" priority="41">
      <formula>MONTH(B4)&lt;&gt;Calendar1MonthOption</formula>
    </cfRule>
  </conditionalFormatting>
  <conditionalFormatting sqref="B10:H12">
    <cfRule type="expression" dxfId="4" priority="5">
      <formula>MONTH(B10)&lt;&gt;Calendar1MonthOption</formula>
    </cfRule>
  </conditionalFormatting>
  <conditionalFormatting sqref="B15:H17">
    <cfRule type="expression" dxfId="3" priority="4">
      <formula>MONTH(B15)&lt;&gt;Calendar1MonthOption</formula>
    </cfRule>
  </conditionalFormatting>
  <conditionalFormatting sqref="B20:H22">
    <cfRule type="expression" dxfId="2" priority="3">
      <formula>MONTH(B20)&lt;&gt;Calendar1MonthOption</formula>
    </cfRule>
  </conditionalFormatting>
  <conditionalFormatting sqref="B25:H27">
    <cfRule type="expression" dxfId="1" priority="2">
      <formula>MONTH(B25)&lt;&gt;Calendar1MonthOption</formula>
    </cfRule>
  </conditionalFormatting>
  <conditionalFormatting sqref="B30:C32">
    <cfRule type="expression" dxfId="0" priority="1">
      <formula>MONTH(B30)&lt;&gt;Calendar1MonthOption</formula>
    </cfRule>
  </conditionalFormatting>
  <dataValidations count="2">
    <dataValidation type="list" allowBlank="1" showInputMessage="1" showErrorMessage="1" sqref="B3">
      <formula1>"SUNDAY,MONDAY,TUESDAY,WEDNESDAY,THURSDAY,FRIDAY,SATURDAY"</formula1>
    </dataValidation>
    <dataValidation type="list" allowBlank="1" showInputMessage="1" showErrorMessage="1" sqref="D1">
      <formula1>"janvier,février,mars,avril,mai,juin,juillet,août,septembre,octobre,novembre,décembre"</formula1>
    </dataValidation>
  </dataValidations>
  <printOptions horizontalCentered="1" verticalCentered="1"/>
  <pageMargins left="0.25" right="0.25" top="0.45" bottom="0.45" header="0.5" footer="0.5"/>
  <pageSetup scale="72" fitToHeight="0" orientation="landscape" r:id="rId1"/>
  <headerFooter alignWithMargins="0"/>
  <customProperties>
    <customPr name="SheetChanged" r:id="rId2"/>
  </customProperties>
  <drawing r:id="rId3"/>
  <legacyDrawing r:id="rId4"/>
  <controls>
    <mc:AlternateContent xmlns:mc="http://schemas.openxmlformats.org/markup-compatibility/2006">
      <mc:Choice Requires="x14">
        <control shapeId="1053" r:id="rId5" name="ComboBox1">
          <controlPr defaultSize="0" autoLine="0" r:id="rId6">
            <anchor moveWithCells="1">
              <from>
                <xdr:col>5</xdr:col>
                <xdr:colOff>504825</xdr:colOff>
                <xdr:row>0</xdr:row>
                <xdr:rowOff>200025</xdr:rowOff>
              </from>
              <to>
                <xdr:col>9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53" r:id="rId5" name="ComboBox1"/>
      </mc:Fallback>
    </mc:AlternateContent>
    <mc:AlternateContent xmlns:mc="http://schemas.openxmlformats.org/markup-compatibility/2006">
      <mc:Choice Requires="x14">
        <control shapeId="1041" r:id="rId7" name="CommandButton3">
          <controlPr defaultSize="0" autoLine="0" r:id="rId8">
            <anchor moveWithCells="1">
              <from>
                <xdr:col>9</xdr:col>
                <xdr:colOff>495300</xdr:colOff>
                <xdr:row>16</xdr:row>
                <xdr:rowOff>66675</xdr:rowOff>
              </from>
              <to>
                <xdr:col>14</xdr:col>
                <xdr:colOff>428625</xdr:colOff>
                <xdr:row>19</xdr:row>
                <xdr:rowOff>152400</xdr:rowOff>
              </to>
            </anchor>
          </controlPr>
        </control>
      </mc:Choice>
      <mc:Fallback>
        <control shapeId="1041" r:id="rId7" name="CommandButton3"/>
      </mc:Fallback>
    </mc:AlternateContent>
    <mc:AlternateContent xmlns:mc="http://schemas.openxmlformats.org/markup-compatibility/2006">
      <mc:Choice Requires="x14">
        <control shapeId="1040" r:id="rId9" name="CommandButton2">
          <controlPr defaultSize="0" autoLine="0" r:id="rId10">
            <anchor moveWithCells="1">
              <from>
                <xdr:col>9</xdr:col>
                <xdr:colOff>495300</xdr:colOff>
                <xdr:row>0</xdr:row>
                <xdr:rowOff>476250</xdr:rowOff>
              </from>
              <to>
                <xdr:col>14</xdr:col>
                <xdr:colOff>428625</xdr:colOff>
                <xdr:row>3</xdr:row>
                <xdr:rowOff>28575</xdr:rowOff>
              </to>
            </anchor>
          </controlPr>
        </control>
      </mc:Choice>
      <mc:Fallback>
        <control shapeId="1040" r:id="rId9" name="CommandButton2"/>
      </mc:Fallback>
    </mc:AlternateContent>
    <mc:AlternateContent xmlns:mc="http://schemas.openxmlformats.org/markup-compatibility/2006">
      <mc:Choice Requires="x14">
        <control shapeId="1039" r:id="rId11" name="CommandButton1">
          <controlPr defaultSize="0" autoLine="0" r:id="rId12">
            <anchor moveWithCells="1">
              <from>
                <xdr:col>9</xdr:col>
                <xdr:colOff>495300</xdr:colOff>
                <xdr:row>3</xdr:row>
                <xdr:rowOff>161925</xdr:rowOff>
              </from>
              <to>
                <xdr:col>14</xdr:col>
                <xdr:colOff>428625</xdr:colOff>
                <xdr:row>7</xdr:row>
                <xdr:rowOff>57150</xdr:rowOff>
              </to>
            </anchor>
          </controlPr>
        </control>
      </mc:Choice>
      <mc:Fallback>
        <control shapeId="1039" r:id="rId11" name="CommandButton1"/>
      </mc:Fallback>
    </mc:AlternateContent>
    <mc:AlternateContent xmlns:mc="http://schemas.openxmlformats.org/markup-compatibility/2006">
      <mc:Choice Requires="x14">
        <control shapeId="1050" r:id="rId13" name="CommandButton5">
          <controlPr defaultSize="0" autoLine="0" r:id="rId14">
            <anchor moveWithCells="1">
              <from>
                <xdr:col>9</xdr:col>
                <xdr:colOff>533400</xdr:colOff>
                <xdr:row>24</xdr:row>
                <xdr:rowOff>171450</xdr:rowOff>
              </from>
              <to>
                <xdr:col>14</xdr:col>
                <xdr:colOff>476250</xdr:colOff>
                <xdr:row>28</xdr:row>
                <xdr:rowOff>85725</xdr:rowOff>
              </to>
            </anchor>
          </controlPr>
        </control>
      </mc:Choice>
      <mc:Fallback>
        <control shapeId="1050" r:id="rId13" name="CommandButton5"/>
      </mc:Fallback>
    </mc:AlternateContent>
    <mc:AlternateContent xmlns:mc="http://schemas.openxmlformats.org/markup-compatibility/2006">
      <mc:Choice Requires="x14">
        <control shapeId="1051" r:id="rId15" name="CommandButton6">
          <controlPr defaultSize="0" autoLine="0" r:id="rId16">
            <anchor moveWithCells="1">
              <from>
                <xdr:col>9</xdr:col>
                <xdr:colOff>514350</xdr:colOff>
                <xdr:row>20</xdr:row>
                <xdr:rowOff>133350</xdr:rowOff>
              </from>
              <to>
                <xdr:col>14</xdr:col>
                <xdr:colOff>457200</xdr:colOff>
                <xdr:row>24</xdr:row>
                <xdr:rowOff>28575</xdr:rowOff>
              </to>
            </anchor>
          </controlPr>
        </control>
      </mc:Choice>
      <mc:Fallback>
        <control shapeId="1051" r:id="rId15" name="CommandButton6"/>
      </mc:Fallback>
    </mc:AlternateContent>
    <mc:AlternateContent xmlns:mc="http://schemas.openxmlformats.org/markup-compatibility/2006">
      <mc:Choice Requires="x14">
        <control shapeId="1055" r:id="rId17" name="CommandButton7">
          <controlPr defaultSize="0" autoLine="0" r:id="rId18">
            <anchor moveWithCells="1">
              <from>
                <xdr:col>9</xdr:col>
                <xdr:colOff>495300</xdr:colOff>
                <xdr:row>12</xdr:row>
                <xdr:rowOff>28575</xdr:rowOff>
              </from>
              <to>
                <xdr:col>14</xdr:col>
                <xdr:colOff>438150</xdr:colOff>
                <xdr:row>15</xdr:row>
                <xdr:rowOff>114300</xdr:rowOff>
              </to>
            </anchor>
          </controlPr>
        </control>
      </mc:Choice>
      <mc:Fallback>
        <control shapeId="1055" r:id="rId17" name="CommandButton7"/>
      </mc:Fallback>
    </mc:AlternateContent>
    <mc:AlternateContent xmlns:mc="http://schemas.openxmlformats.org/markup-compatibility/2006">
      <mc:Choice Requires="x14">
        <control shapeId="1075" r:id="rId19" name="CommandButton8">
          <controlPr defaultSize="0" autoLine="0" r:id="rId20">
            <anchor moveWithCells="1">
              <from>
                <xdr:col>9</xdr:col>
                <xdr:colOff>495300</xdr:colOff>
                <xdr:row>8</xdr:row>
                <xdr:rowOff>0</xdr:rowOff>
              </from>
              <to>
                <xdr:col>14</xdr:col>
                <xdr:colOff>428625</xdr:colOff>
                <xdr:row>11</xdr:row>
                <xdr:rowOff>76200</xdr:rowOff>
              </to>
            </anchor>
          </controlPr>
        </control>
      </mc:Choice>
      <mc:Fallback>
        <control shapeId="1075" r:id="rId19" name="CommandButton8"/>
      </mc:Fallback>
    </mc:AlternateContent>
    <mc:AlternateContent xmlns:mc="http://schemas.openxmlformats.org/markup-compatibility/2006">
      <mc:Choice Requires="x14">
        <control shapeId="1038" r:id="rId21" name="Year Spinner">
          <controlPr defaultSize="0" print="0" autoPict="0" altText="Cliquez sur les flèches Haut et Bas pour changer l'année du calendrier. Ou, tapez l’année souhaitée dans la cellule A1.">
            <anchor moveWithCells="1" sizeWithCells="1">
              <from>
                <xdr:col>2</xdr:col>
                <xdr:colOff>238125</xdr:colOff>
                <xdr:row>0</xdr:row>
                <xdr:rowOff>390525</xdr:rowOff>
              </from>
              <to>
                <xdr:col>2</xdr:col>
                <xdr:colOff>381000</xdr:colOff>
                <xdr:row>0</xdr:row>
                <xdr:rowOff>628650</xdr:rowOff>
              </to>
            </anchor>
          </controlPr>
        </control>
      </mc:Choice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19"/>
  <sheetViews>
    <sheetView workbookViewId="0">
      <selection activeCell="C9" sqref="C9"/>
    </sheetView>
  </sheetViews>
  <sheetFormatPr baseColWidth="10" defaultRowHeight="12.75" x14ac:dyDescent="0.25"/>
  <cols>
    <col min="1" max="1" width="11.42578125" style="100"/>
    <col min="2" max="2" width="17.85546875" style="100" customWidth="1"/>
    <col min="3" max="3" width="14.85546875" style="100" customWidth="1"/>
    <col min="4" max="16384" width="11.42578125" style="100"/>
  </cols>
  <sheetData>
    <row r="1" spans="1:6" x14ac:dyDescent="0.25">
      <c r="A1" s="118" t="s">
        <v>26</v>
      </c>
      <c r="B1" s="119"/>
      <c r="C1" s="120"/>
    </row>
    <row r="2" spans="1:6" x14ac:dyDescent="0.25">
      <c r="A2" s="101" t="s">
        <v>27</v>
      </c>
      <c r="B2" s="101" t="s">
        <v>28</v>
      </c>
      <c r="C2" s="101" t="s">
        <v>29</v>
      </c>
    </row>
    <row r="3" spans="1:6" x14ac:dyDescent="0.25">
      <c r="A3" s="102">
        <v>2014</v>
      </c>
      <c r="B3" s="103">
        <v>41638</v>
      </c>
      <c r="C3" s="103">
        <v>41644</v>
      </c>
      <c r="E3" s="100">
        <v>41638</v>
      </c>
      <c r="F3" s="100">
        <v>41644</v>
      </c>
    </row>
    <row r="4" spans="1:6" x14ac:dyDescent="0.25">
      <c r="A4" s="102">
        <v>2015</v>
      </c>
      <c r="B4" s="103">
        <v>42002</v>
      </c>
      <c r="C4" s="103">
        <v>42008</v>
      </c>
      <c r="E4" s="100">
        <v>42002</v>
      </c>
      <c r="F4" s="100">
        <v>42008</v>
      </c>
    </row>
    <row r="5" spans="1:6" x14ac:dyDescent="0.25">
      <c r="A5" s="102">
        <v>2016</v>
      </c>
      <c r="B5" s="103">
        <v>42366</v>
      </c>
      <c r="C5" s="103">
        <v>42372</v>
      </c>
      <c r="E5" s="100">
        <v>42366</v>
      </c>
      <c r="F5" s="100">
        <v>42372</v>
      </c>
    </row>
    <row r="6" spans="1:6" x14ac:dyDescent="0.25">
      <c r="A6" s="102">
        <v>2017</v>
      </c>
      <c r="B6" s="103">
        <v>42730</v>
      </c>
      <c r="C6" s="103">
        <v>42736</v>
      </c>
      <c r="E6" s="100">
        <v>42730</v>
      </c>
      <c r="F6" s="100">
        <v>42736</v>
      </c>
    </row>
    <row r="7" spans="1:6" x14ac:dyDescent="0.25">
      <c r="A7" s="102">
        <v>2018</v>
      </c>
      <c r="B7" s="103">
        <v>43101</v>
      </c>
      <c r="C7" s="103">
        <v>43107</v>
      </c>
      <c r="E7" s="100">
        <v>43101</v>
      </c>
      <c r="F7" s="100">
        <v>43107</v>
      </c>
    </row>
    <row r="8" spans="1:6" x14ac:dyDescent="0.25">
      <c r="A8" s="102">
        <v>2019</v>
      </c>
      <c r="B8" s="103">
        <v>43465</v>
      </c>
      <c r="C8" s="103">
        <v>43471</v>
      </c>
      <c r="E8" s="100">
        <v>43465</v>
      </c>
      <c r="F8" s="100">
        <v>43471</v>
      </c>
    </row>
    <row r="9" spans="1:6" x14ac:dyDescent="0.25">
      <c r="A9" s="102">
        <v>2020</v>
      </c>
      <c r="B9" s="103">
        <v>43829</v>
      </c>
      <c r="C9" s="103">
        <v>43835</v>
      </c>
      <c r="E9" s="100">
        <v>43829</v>
      </c>
      <c r="F9" s="100">
        <v>43835</v>
      </c>
    </row>
    <row r="10" spans="1:6" x14ac:dyDescent="0.25">
      <c r="A10" s="102">
        <v>2021</v>
      </c>
      <c r="B10" s="103">
        <v>44193</v>
      </c>
      <c r="C10" s="103">
        <v>44199</v>
      </c>
      <c r="E10" s="100">
        <v>44193</v>
      </c>
      <c r="F10" s="100">
        <v>44199</v>
      </c>
    </row>
    <row r="11" spans="1:6" x14ac:dyDescent="0.25">
      <c r="A11" s="102">
        <v>2022</v>
      </c>
      <c r="B11" s="103">
        <v>44557</v>
      </c>
      <c r="C11" s="103">
        <v>44563</v>
      </c>
      <c r="E11" s="100">
        <v>44557</v>
      </c>
      <c r="F11" s="100">
        <v>44563</v>
      </c>
    </row>
    <row r="12" spans="1:6" x14ac:dyDescent="0.25">
      <c r="A12" s="102">
        <v>2023</v>
      </c>
      <c r="B12" s="103">
        <v>44921</v>
      </c>
      <c r="C12" s="103">
        <v>44927</v>
      </c>
      <c r="E12" s="100">
        <v>44921</v>
      </c>
      <c r="F12" s="100">
        <v>44927</v>
      </c>
    </row>
    <row r="13" spans="1:6" x14ac:dyDescent="0.25">
      <c r="A13" s="102">
        <v>2024</v>
      </c>
      <c r="B13" s="103">
        <v>45292</v>
      </c>
      <c r="C13" s="103">
        <v>45298</v>
      </c>
      <c r="E13" s="100">
        <v>45292</v>
      </c>
      <c r="F13" s="100">
        <v>45298</v>
      </c>
    </row>
    <row r="14" spans="1:6" x14ac:dyDescent="0.25">
      <c r="A14" s="102">
        <v>2025</v>
      </c>
      <c r="B14" s="103">
        <v>45656</v>
      </c>
      <c r="C14" s="103">
        <v>45296</v>
      </c>
      <c r="E14" s="100">
        <v>45656</v>
      </c>
      <c r="F14" s="100">
        <v>45296</v>
      </c>
    </row>
    <row r="15" spans="1:6" x14ac:dyDescent="0.25">
      <c r="A15" s="102">
        <v>2026</v>
      </c>
      <c r="B15" s="103">
        <v>46020</v>
      </c>
      <c r="C15" s="103">
        <v>46026</v>
      </c>
      <c r="E15" s="100">
        <v>46020</v>
      </c>
      <c r="F15" s="100">
        <v>46026</v>
      </c>
    </row>
    <row r="16" spans="1:6" x14ac:dyDescent="0.25">
      <c r="A16" s="102">
        <v>2027</v>
      </c>
      <c r="B16" s="103">
        <v>46384</v>
      </c>
      <c r="C16" s="103">
        <v>46390</v>
      </c>
      <c r="E16" s="100">
        <v>46384</v>
      </c>
      <c r="F16" s="100">
        <v>46390</v>
      </c>
    </row>
    <row r="17" spans="1:6" x14ac:dyDescent="0.25">
      <c r="A17" s="102">
        <v>2028</v>
      </c>
      <c r="B17" s="103">
        <v>46748</v>
      </c>
      <c r="C17" s="103">
        <v>46754</v>
      </c>
      <c r="E17" s="100">
        <v>46748</v>
      </c>
      <c r="F17" s="100">
        <v>46754</v>
      </c>
    </row>
    <row r="18" spans="1:6" x14ac:dyDescent="0.25">
      <c r="A18" s="102">
        <v>2029</v>
      </c>
      <c r="B18" s="103">
        <v>47119</v>
      </c>
      <c r="C18" s="103">
        <v>47125</v>
      </c>
      <c r="E18" s="100">
        <v>47119</v>
      </c>
      <c r="F18" s="100">
        <v>47125</v>
      </c>
    </row>
    <row r="19" spans="1:6" x14ac:dyDescent="0.25">
      <c r="A19" s="102">
        <v>2030</v>
      </c>
      <c r="B19" s="103">
        <v>47483</v>
      </c>
      <c r="C19" s="103">
        <v>47489</v>
      </c>
      <c r="E19" s="100">
        <v>47483</v>
      </c>
      <c r="F19" s="100">
        <v>47489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X20"/>
  <sheetViews>
    <sheetView showZeros="0" topLeftCell="A3" zoomScale="60" zoomScaleNormal="60" workbookViewId="0">
      <selection activeCell="H9" sqref="H9"/>
    </sheetView>
  </sheetViews>
  <sheetFormatPr baseColWidth="10" defaultRowHeight="12.75" x14ac:dyDescent="0.2"/>
  <cols>
    <col min="1" max="1" width="1.28515625" style="46" customWidth="1"/>
    <col min="2" max="2" width="13.5703125" style="46" customWidth="1"/>
    <col min="3" max="3" width="8.7109375" style="46" customWidth="1"/>
    <col min="4" max="4" width="26.7109375" style="46" customWidth="1"/>
    <col min="5" max="6" width="8.7109375" style="47" customWidth="1"/>
    <col min="7" max="7" width="26.7109375" style="46" customWidth="1"/>
    <col min="8" max="8" width="8.7109375" style="46" customWidth="1"/>
    <col min="9" max="10" width="9.42578125" style="46" customWidth="1"/>
    <col min="11" max="11" width="8.85546875" style="46" customWidth="1"/>
    <col min="12" max="12" width="26.7109375" style="46" customWidth="1"/>
    <col min="13" max="13" width="9.5703125" style="46" customWidth="1"/>
    <col min="14" max="14" width="8.7109375" style="46" customWidth="1"/>
    <col min="15" max="15" width="26.7109375" style="46" customWidth="1"/>
    <col min="16" max="16" width="8.7109375" style="46" customWidth="1"/>
    <col min="17" max="17" width="15.85546875" style="46" hidden="1" customWidth="1"/>
    <col min="18" max="21" width="13.5703125" style="46" hidden="1" customWidth="1"/>
    <col min="22" max="22" width="17.7109375" style="46" customWidth="1"/>
    <col min="23" max="23" width="1.140625" style="46" customWidth="1"/>
    <col min="24" max="16384" width="11.42578125" style="46"/>
  </cols>
  <sheetData>
    <row r="1" spans="1:24" s="95" customFormat="1" ht="24" customHeight="1" thickBot="1" x14ac:dyDescent="0.4">
      <c r="B1" s="99" t="s">
        <v>3</v>
      </c>
      <c r="D1" s="130" t="str">
        <f>D2 &amp; " /" &amp; H1 &amp; " /"&amp; M1</f>
        <v xml:space="preserve"> / /2014</v>
      </c>
      <c r="E1" s="130"/>
      <c r="F1" s="131"/>
      <c r="G1" s="98"/>
      <c r="H1" s="97"/>
      <c r="I1" s="127">
        <f>(VLOOKUP(M1,Calendrier!$A$3:$C$30,2,FALSE)+(H1)*7)</f>
        <v>41638</v>
      </c>
      <c r="J1" s="127"/>
      <c r="K1" s="127"/>
      <c r="L1" s="96">
        <f>VLOOKUP(M1,Calendrier!$A$3:$C$30,3,FALSE)+(H1)*7</f>
        <v>41644</v>
      </c>
      <c r="M1" s="124">
        <f>'Planning au mois'!A1</f>
        <v>2014</v>
      </c>
      <c r="N1" s="125"/>
    </row>
    <row r="2" spans="1:24" s="52" customFormat="1" ht="34.5" customHeight="1" thickBot="1" x14ac:dyDescent="0.3">
      <c r="B2" s="128" t="s">
        <v>4</v>
      </c>
      <c r="C2" s="129"/>
      <c r="D2" s="94"/>
      <c r="E2" s="93"/>
      <c r="G2" s="92"/>
      <c r="J2" s="126"/>
      <c r="K2" s="126"/>
      <c r="L2" s="91"/>
      <c r="P2" s="90"/>
    </row>
    <row r="3" spans="1:24" ht="8.25" customHeight="1" thickBot="1" x14ac:dyDescent="0.25">
      <c r="A3" s="51"/>
      <c r="B3" s="51"/>
      <c r="C3" s="51"/>
      <c r="D3" s="51"/>
      <c r="E3" s="59"/>
      <c r="F3" s="59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</row>
    <row r="4" spans="1:24" s="52" customFormat="1" ht="69" customHeight="1" thickBot="1" x14ac:dyDescent="0.3">
      <c r="A4" s="54"/>
      <c r="B4" s="89" t="s">
        <v>5</v>
      </c>
      <c r="C4" s="84" t="s">
        <v>6</v>
      </c>
      <c r="D4" s="85" t="s">
        <v>7</v>
      </c>
      <c r="E4" s="88" t="s">
        <v>8</v>
      </c>
      <c r="F4" s="84" t="s">
        <v>6</v>
      </c>
      <c r="G4" s="85" t="s">
        <v>9</v>
      </c>
      <c r="H4" s="88" t="s">
        <v>8</v>
      </c>
      <c r="I4" s="87" t="s">
        <v>10</v>
      </c>
      <c r="J4" s="86" t="s">
        <v>11</v>
      </c>
      <c r="K4" s="84" t="s">
        <v>6</v>
      </c>
      <c r="L4" s="85" t="s">
        <v>12</v>
      </c>
      <c r="M4" s="84" t="s">
        <v>8</v>
      </c>
      <c r="N4" s="84" t="s">
        <v>6</v>
      </c>
      <c r="O4" s="85" t="s">
        <v>13</v>
      </c>
      <c r="P4" s="84" t="s">
        <v>8</v>
      </c>
      <c r="Q4" s="83"/>
      <c r="R4" s="83"/>
      <c r="S4" s="83"/>
      <c r="T4" s="83"/>
      <c r="U4" s="83"/>
      <c r="V4" s="82" t="s">
        <v>14</v>
      </c>
      <c r="W4" s="54"/>
    </row>
    <row r="5" spans="1:24" ht="69" customHeight="1" thickBot="1" x14ac:dyDescent="0.25">
      <c r="A5" s="51"/>
      <c r="B5" s="81" t="s">
        <v>15</v>
      </c>
      <c r="C5" s="80"/>
      <c r="D5" s="104"/>
      <c r="E5" s="79"/>
      <c r="F5" s="80"/>
      <c r="G5" s="107"/>
      <c r="H5" s="79"/>
      <c r="I5" s="68" t="str">
        <f t="shared" ref="I5:I11" si="0">IF(AND(K5="",N5=""),"",IF(H5&lt;&gt;"",H5,E5))</f>
        <v/>
      </c>
      <c r="J5" s="67" t="str">
        <f t="shared" ref="J5:J11" si="1">IF(AND(E5="",H5=""),"",IF(K5&lt;&gt;"",K5,N5))</f>
        <v/>
      </c>
      <c r="K5" s="80"/>
      <c r="L5" s="107"/>
      <c r="M5" s="79"/>
      <c r="N5" s="80"/>
      <c r="O5" s="107"/>
      <c r="P5" s="79"/>
      <c r="Q5" s="78"/>
      <c r="R5" s="77"/>
      <c r="S5" s="77"/>
      <c r="T5" s="77"/>
      <c r="U5" s="76"/>
      <c r="V5" s="61">
        <f t="shared" ref="V5:V11" si="2">E5-C5+H5-F5+M5-K5+P5-N5</f>
        <v>0</v>
      </c>
      <c r="W5" s="51"/>
      <c r="X5" s="60"/>
    </row>
    <row r="6" spans="1:24" ht="69" customHeight="1" thickBot="1" x14ac:dyDescent="0.25">
      <c r="A6" s="51"/>
      <c r="B6" s="72" t="s">
        <v>16</v>
      </c>
      <c r="C6" s="71"/>
      <c r="D6" s="105"/>
      <c r="E6" s="70"/>
      <c r="F6" s="71"/>
      <c r="G6" s="105"/>
      <c r="H6" s="70"/>
      <c r="I6" s="68" t="str">
        <f t="shared" si="0"/>
        <v/>
      </c>
      <c r="J6" s="67" t="str">
        <f t="shared" si="1"/>
        <v/>
      </c>
      <c r="K6" s="71"/>
      <c r="L6" s="105"/>
      <c r="M6" s="70"/>
      <c r="N6" s="71"/>
      <c r="O6" s="105"/>
      <c r="P6" s="70"/>
      <c r="Q6" s="75"/>
      <c r="R6" s="74"/>
      <c r="S6" s="74"/>
      <c r="T6" s="74"/>
      <c r="U6" s="73"/>
      <c r="V6" s="61">
        <f t="shared" si="2"/>
        <v>0</v>
      </c>
      <c r="W6" s="51"/>
      <c r="X6" s="60"/>
    </row>
    <row r="7" spans="1:24" ht="69" customHeight="1" thickBot="1" x14ac:dyDescent="0.25">
      <c r="A7" s="51"/>
      <c r="B7" s="72" t="s">
        <v>17</v>
      </c>
      <c r="C7" s="71"/>
      <c r="D7" s="105"/>
      <c r="E7" s="70"/>
      <c r="F7" s="71"/>
      <c r="G7" s="105"/>
      <c r="H7" s="70"/>
      <c r="I7" s="68" t="str">
        <f t="shared" si="0"/>
        <v/>
      </c>
      <c r="J7" s="67" t="str">
        <f t="shared" si="1"/>
        <v/>
      </c>
      <c r="K7" s="71"/>
      <c r="L7" s="105"/>
      <c r="M7" s="70"/>
      <c r="N7" s="71"/>
      <c r="O7" s="105"/>
      <c r="P7" s="70"/>
      <c r="Q7" s="75"/>
      <c r="R7" s="74"/>
      <c r="S7" s="74"/>
      <c r="T7" s="74"/>
      <c r="U7" s="73"/>
      <c r="V7" s="61">
        <f t="shared" si="2"/>
        <v>0</v>
      </c>
      <c r="W7" s="51"/>
      <c r="X7" s="60"/>
    </row>
    <row r="8" spans="1:24" ht="69" customHeight="1" thickBot="1" x14ac:dyDescent="0.25">
      <c r="A8" s="51"/>
      <c r="B8" s="72" t="s">
        <v>18</v>
      </c>
      <c r="C8" s="71"/>
      <c r="D8" s="105"/>
      <c r="E8" s="70"/>
      <c r="F8" s="71"/>
      <c r="G8" s="105"/>
      <c r="H8" s="70"/>
      <c r="I8" s="68" t="str">
        <f t="shared" si="0"/>
        <v/>
      </c>
      <c r="J8" s="67" t="str">
        <f t="shared" si="1"/>
        <v/>
      </c>
      <c r="K8" s="71"/>
      <c r="L8" s="105"/>
      <c r="M8" s="70"/>
      <c r="N8" s="71"/>
      <c r="O8" s="105"/>
      <c r="P8" s="70"/>
      <c r="Q8" s="75"/>
      <c r="R8" s="74"/>
      <c r="S8" s="74"/>
      <c r="T8" s="74"/>
      <c r="U8" s="73"/>
      <c r="V8" s="61">
        <f t="shared" si="2"/>
        <v>0</v>
      </c>
      <c r="W8" s="51"/>
      <c r="X8" s="60"/>
    </row>
    <row r="9" spans="1:24" ht="69" customHeight="1" thickBot="1" x14ac:dyDescent="0.25">
      <c r="A9" s="51"/>
      <c r="B9" s="72" t="s">
        <v>19</v>
      </c>
      <c r="C9" s="71"/>
      <c r="D9" s="105"/>
      <c r="E9" s="70"/>
      <c r="F9" s="71"/>
      <c r="G9" s="105"/>
      <c r="H9" s="70"/>
      <c r="I9" s="68" t="str">
        <f t="shared" si="0"/>
        <v/>
      </c>
      <c r="J9" s="67" t="str">
        <f t="shared" si="1"/>
        <v/>
      </c>
      <c r="K9" s="71"/>
      <c r="L9" s="105"/>
      <c r="M9" s="70"/>
      <c r="N9" s="71"/>
      <c r="O9" s="105"/>
      <c r="P9" s="70"/>
      <c r="Q9" s="75"/>
      <c r="R9" s="74"/>
      <c r="S9" s="74"/>
      <c r="T9" s="74"/>
      <c r="U9" s="73"/>
      <c r="V9" s="61">
        <f t="shared" si="2"/>
        <v>0</v>
      </c>
      <c r="W9" s="51"/>
      <c r="X9" s="60"/>
    </row>
    <row r="10" spans="1:24" ht="69" customHeight="1" thickBot="1" x14ac:dyDescent="0.25">
      <c r="A10" s="51"/>
      <c r="B10" s="72" t="s">
        <v>20</v>
      </c>
      <c r="C10" s="71"/>
      <c r="D10" s="105"/>
      <c r="E10" s="70"/>
      <c r="F10" s="71"/>
      <c r="G10" s="105"/>
      <c r="H10" s="70"/>
      <c r="I10" s="68" t="str">
        <f t="shared" si="0"/>
        <v/>
      </c>
      <c r="J10" s="67" t="str">
        <f t="shared" si="1"/>
        <v/>
      </c>
      <c r="K10" s="71"/>
      <c r="L10" s="105"/>
      <c r="M10" s="70"/>
      <c r="N10" s="71"/>
      <c r="O10" s="105"/>
      <c r="P10" s="70"/>
      <c r="Q10" s="64"/>
      <c r="R10" s="63"/>
      <c r="S10" s="63"/>
      <c r="T10" s="63"/>
      <c r="U10" s="62"/>
      <c r="V10" s="61">
        <f t="shared" si="2"/>
        <v>0</v>
      </c>
      <c r="W10" s="51"/>
      <c r="X10" s="60"/>
    </row>
    <row r="11" spans="1:24" ht="69" customHeight="1" thickBot="1" x14ac:dyDescent="0.25">
      <c r="A11" s="51"/>
      <c r="B11" s="69" t="s">
        <v>21</v>
      </c>
      <c r="C11" s="66"/>
      <c r="D11" s="106"/>
      <c r="E11" s="65"/>
      <c r="F11" s="66"/>
      <c r="G11" s="106"/>
      <c r="H11" s="65"/>
      <c r="I11" s="68" t="str">
        <f t="shared" si="0"/>
        <v/>
      </c>
      <c r="J11" s="67" t="str">
        <f t="shared" si="1"/>
        <v/>
      </c>
      <c r="K11" s="66"/>
      <c r="L11" s="106"/>
      <c r="M11" s="65"/>
      <c r="N11" s="66"/>
      <c r="O11" s="106"/>
      <c r="P11" s="65"/>
      <c r="Q11" s="64"/>
      <c r="R11" s="63"/>
      <c r="S11" s="63"/>
      <c r="T11" s="63"/>
      <c r="U11" s="62"/>
      <c r="V11" s="61">
        <f t="shared" si="2"/>
        <v>0</v>
      </c>
      <c r="W11" s="51"/>
      <c r="X11" s="60"/>
    </row>
    <row r="12" spans="1:24" ht="8.25" customHeight="1" thickBot="1" x14ac:dyDescent="0.3">
      <c r="A12" s="51"/>
      <c r="B12" s="58"/>
      <c r="C12" s="58"/>
      <c r="D12" s="58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1"/>
    </row>
    <row r="13" spans="1:24" s="52" customFormat="1" ht="21.75" customHeight="1" thickBot="1" x14ac:dyDescent="0.3">
      <c r="B13" s="57"/>
      <c r="C13" s="57"/>
      <c r="D13" s="57"/>
      <c r="E13" s="121"/>
      <c r="F13" s="132" t="str">
        <f>IF(E13&lt;&gt;"",VLOOKUP(E13,ListeTournées!$G$2:$H$30,2,FALSE),"")</f>
        <v/>
      </c>
      <c r="G13" s="132"/>
      <c r="H13" s="132"/>
      <c r="I13" s="57"/>
      <c r="J13" s="57"/>
      <c r="K13" s="57"/>
      <c r="L13" s="57"/>
      <c r="M13" s="57"/>
      <c r="N13" s="57"/>
      <c r="O13" s="57"/>
      <c r="P13" s="56" t="s">
        <v>22</v>
      </c>
      <c r="Q13" s="57"/>
      <c r="R13" s="57"/>
      <c r="S13" s="57"/>
      <c r="T13" s="57"/>
      <c r="U13" s="56" t="s">
        <v>23</v>
      </c>
      <c r="V13" s="55">
        <f>SUM(V5:V11)</f>
        <v>0</v>
      </c>
      <c r="W13" s="54"/>
      <c r="X13" s="53"/>
    </row>
    <row r="14" spans="1:24" ht="8.25" customHeight="1" x14ac:dyDescent="0.2">
      <c r="E14" s="121"/>
      <c r="F14" s="132"/>
      <c r="G14" s="132"/>
      <c r="H14" s="132"/>
      <c r="V14" s="51"/>
      <c r="W14" s="51"/>
    </row>
    <row r="15" spans="1:24" ht="20.25" customHeight="1" x14ac:dyDescent="0.3">
      <c r="C15" s="122" t="s">
        <v>24</v>
      </c>
      <c r="D15" s="122"/>
      <c r="E15" s="121"/>
      <c r="F15" s="132"/>
      <c r="G15" s="132"/>
      <c r="H15" s="132"/>
      <c r="L15" s="50" t="s">
        <v>25</v>
      </c>
      <c r="M15" s="50"/>
      <c r="N15" s="50"/>
      <c r="O15" s="50"/>
    </row>
    <row r="16" spans="1:24" ht="20.25" customHeight="1" x14ac:dyDescent="0.2">
      <c r="E16" s="121"/>
      <c r="F16" s="132" t="str">
        <f>IF(E16&lt;&gt;"",VLOOKUP(E16,ListeTournées!$G$2:$H$30,2,FALSE),"")</f>
        <v/>
      </c>
      <c r="G16" s="132"/>
      <c r="H16" s="132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5:22" ht="20.25" customHeight="1" x14ac:dyDescent="0.2">
      <c r="E17" s="121"/>
      <c r="F17" s="132"/>
      <c r="G17" s="132"/>
      <c r="H17" s="132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5:22" s="48" customFormat="1" ht="20.25" x14ac:dyDescent="0.3">
      <c r="E18" s="121"/>
      <c r="F18" s="132"/>
      <c r="G18" s="132"/>
      <c r="H18" s="132"/>
      <c r="M18" s="123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5:22" ht="20.25" x14ac:dyDescent="0.3">
      <c r="E19" s="49"/>
      <c r="F19" s="48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5:22" ht="20.25" x14ac:dyDescent="0.3">
      <c r="F20" s="48"/>
    </row>
  </sheetData>
  <mergeCells count="11">
    <mergeCell ref="E16:E18"/>
    <mergeCell ref="C15:D15"/>
    <mergeCell ref="M16:V19"/>
    <mergeCell ref="M1:N1"/>
    <mergeCell ref="J2:K2"/>
    <mergeCell ref="I1:K1"/>
    <mergeCell ref="B2:C2"/>
    <mergeCell ref="D1:F1"/>
    <mergeCell ref="F13:H15"/>
    <mergeCell ref="F16:H18"/>
    <mergeCell ref="E13:E15"/>
  </mergeCells>
  <printOptions horizontalCentered="1"/>
  <pageMargins left="0.51181102362204722" right="0.55118110236220474" top="1.2204724409448819" bottom="0.59055118110236227" header="0.47244094488188981" footer="0.51181102362204722"/>
  <pageSetup paperSize="9" scale="58" orientation="landscape" r:id="rId1"/>
  <headerFooter alignWithMargins="0">
    <oddHeader>&amp;C&amp;"Arial,Gras italique"&amp;24 Horaire de service&amp;R&amp;"Arial,Gras"&amp;18Société TBF&amp;14
6 rue Benjamin Franklin ZA Sud, 63360 GERZAT 
Tél. 04 73 24 76 47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59"/>
  <sheetViews>
    <sheetView workbookViewId="0"/>
  </sheetViews>
  <sheetFormatPr baseColWidth="10" defaultRowHeight="12.75" x14ac:dyDescent="0.25"/>
  <cols>
    <col min="1" max="1" width="17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  <row r="16" spans="1:1" x14ac:dyDescent="0.25">
      <c r="A16" t="s">
        <v>45</v>
      </c>
    </row>
    <row r="17" spans="1:1" x14ac:dyDescent="0.25">
      <c r="A17" t="s">
        <v>46</v>
      </c>
    </row>
    <row r="18" spans="1:1" x14ac:dyDescent="0.25">
      <c r="A18" t="s">
        <v>47</v>
      </c>
    </row>
    <row r="19" spans="1:1" x14ac:dyDescent="0.25">
      <c r="A19" t="s">
        <v>48</v>
      </c>
    </row>
    <row r="20" spans="1:1" x14ac:dyDescent="0.25">
      <c r="A20" t="s">
        <v>49</v>
      </c>
    </row>
    <row r="21" spans="1:1" x14ac:dyDescent="0.25">
      <c r="A21" t="s">
        <v>50</v>
      </c>
    </row>
    <row r="22" spans="1:1" x14ac:dyDescent="0.25">
      <c r="A22" t="s">
        <v>51</v>
      </c>
    </row>
    <row r="23" spans="1:1" x14ac:dyDescent="0.25">
      <c r="A23" t="s">
        <v>52</v>
      </c>
    </row>
    <row r="24" spans="1:1" x14ac:dyDescent="0.25">
      <c r="A24" t="s">
        <v>53</v>
      </c>
    </row>
    <row r="25" spans="1:1" x14ac:dyDescent="0.25">
      <c r="A25" t="s">
        <v>54</v>
      </c>
    </row>
    <row r="26" spans="1:1" x14ac:dyDescent="0.25">
      <c r="A26" t="s">
        <v>55</v>
      </c>
    </row>
    <row r="27" spans="1:1" x14ac:dyDescent="0.25">
      <c r="A27" t="s">
        <v>56</v>
      </c>
    </row>
    <row r="28" spans="1:1" x14ac:dyDescent="0.25">
      <c r="A28" t="s">
        <v>57</v>
      </c>
    </row>
    <row r="29" spans="1:1" x14ac:dyDescent="0.25">
      <c r="A29" t="s">
        <v>58</v>
      </c>
    </row>
    <row r="30" spans="1:1" x14ac:dyDescent="0.25">
      <c r="A30" t="s">
        <v>59</v>
      </c>
    </row>
    <row r="31" spans="1:1" x14ac:dyDescent="0.25">
      <c r="A31" t="s">
        <v>60</v>
      </c>
    </row>
    <row r="32" spans="1:1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85</v>
      </c>
    </row>
    <row r="57" spans="1:1" x14ac:dyDescent="0.25">
      <c r="A57" t="s">
        <v>86</v>
      </c>
    </row>
    <row r="58" spans="1:1" x14ac:dyDescent="0.25">
      <c r="A58" t="s">
        <v>87</v>
      </c>
    </row>
    <row r="59" spans="1:1" x14ac:dyDescent="0.25">
      <c r="A59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H513"/>
  <sheetViews>
    <sheetView topLeftCell="A486" workbookViewId="0">
      <selection activeCell="A512" sqref="A512"/>
    </sheetView>
  </sheetViews>
  <sheetFormatPr baseColWidth="10" defaultRowHeight="12.75" x14ac:dyDescent="0.25"/>
  <cols>
    <col min="1" max="1" width="5.28515625" bestFit="1" customWidth="1"/>
    <col min="2" max="2" width="24.85546875" bestFit="1" customWidth="1"/>
    <col min="3" max="5" width="6.7109375" style="10" bestFit="1" customWidth="1"/>
    <col min="8" max="8" width="32.28515625" customWidth="1"/>
  </cols>
  <sheetData>
    <row r="2" spans="1:8" x14ac:dyDescent="0.25">
      <c r="A2">
        <v>0</v>
      </c>
      <c r="B2" t="s">
        <v>90</v>
      </c>
      <c r="C2" s="10">
        <v>0</v>
      </c>
      <c r="D2" s="10">
        <v>0</v>
      </c>
      <c r="G2">
        <v>501</v>
      </c>
      <c r="H2" t="s">
        <v>503</v>
      </c>
    </row>
    <row r="3" spans="1:8" x14ac:dyDescent="0.25">
      <c r="A3">
        <v>1</v>
      </c>
      <c r="B3" t="s">
        <v>91</v>
      </c>
      <c r="G3">
        <v>502</v>
      </c>
      <c r="H3" t="s">
        <v>504</v>
      </c>
    </row>
    <row r="4" spans="1:8" x14ac:dyDescent="0.25">
      <c r="A4">
        <v>2</v>
      </c>
      <c r="B4" t="s">
        <v>92</v>
      </c>
      <c r="C4" s="10">
        <v>0.1666666716337204</v>
      </c>
      <c r="D4" s="10">
        <v>0.3541666567325592</v>
      </c>
      <c r="E4" s="10">
        <v>0.52083331346511841</v>
      </c>
      <c r="F4">
        <v>501</v>
      </c>
      <c r="G4">
        <v>503</v>
      </c>
      <c r="H4" t="s">
        <v>505</v>
      </c>
    </row>
    <row r="5" spans="1:8" x14ac:dyDescent="0.25">
      <c r="A5">
        <v>3</v>
      </c>
      <c r="B5" t="s">
        <v>93</v>
      </c>
      <c r="C5" s="10">
        <v>0.2916666567325592</v>
      </c>
      <c r="D5" s="10">
        <v>0.58333331346511841</v>
      </c>
      <c r="E5" s="10">
        <v>0.875</v>
      </c>
      <c r="F5">
        <v>502</v>
      </c>
      <c r="G5">
        <v>504</v>
      </c>
      <c r="H5" t="s">
        <v>506</v>
      </c>
    </row>
    <row r="6" spans="1:8" x14ac:dyDescent="0.25">
      <c r="A6">
        <v>4</v>
      </c>
      <c r="B6" t="s">
        <v>94</v>
      </c>
      <c r="C6" s="10">
        <v>0.2916666567325592</v>
      </c>
      <c r="D6" s="10">
        <v>0.3645833432674408</v>
      </c>
      <c r="E6" s="10">
        <v>0.65625</v>
      </c>
      <c r="F6">
        <v>503</v>
      </c>
      <c r="G6">
        <v>505</v>
      </c>
      <c r="H6" t="s">
        <v>507</v>
      </c>
    </row>
    <row r="7" spans="1:8" x14ac:dyDescent="0.25">
      <c r="A7">
        <v>5</v>
      </c>
      <c r="B7" t="s">
        <v>95</v>
      </c>
      <c r="C7" s="10">
        <v>0.25</v>
      </c>
      <c r="D7" s="10">
        <v>0.3645833432674408</v>
      </c>
      <c r="E7" s="10">
        <v>0.61458331346511841</v>
      </c>
      <c r="F7">
        <v>504</v>
      </c>
      <c r="G7">
        <v>506</v>
      </c>
      <c r="H7" t="s">
        <v>508</v>
      </c>
    </row>
    <row r="8" spans="1:8" x14ac:dyDescent="0.25">
      <c r="A8">
        <v>6</v>
      </c>
      <c r="B8" t="s">
        <v>96</v>
      </c>
      <c r="C8" s="10">
        <v>0.2083333283662796</v>
      </c>
      <c r="D8" s="10">
        <v>0.2291666716337204</v>
      </c>
      <c r="E8" s="10">
        <v>0.4375</v>
      </c>
      <c r="F8">
        <v>505</v>
      </c>
      <c r="G8">
        <v>507</v>
      </c>
      <c r="H8" t="s">
        <v>509</v>
      </c>
    </row>
    <row r="9" spans="1:8" x14ac:dyDescent="0.25">
      <c r="A9">
        <v>7</v>
      </c>
      <c r="B9" t="s">
        <v>97</v>
      </c>
      <c r="C9" s="10">
        <v>0.1666666716337204</v>
      </c>
      <c r="D9" s="10">
        <v>0.4375</v>
      </c>
      <c r="E9" s="10">
        <v>0.60416668653488159</v>
      </c>
      <c r="F9">
        <v>506</v>
      </c>
      <c r="G9">
        <v>508</v>
      </c>
      <c r="H9" t="s">
        <v>510</v>
      </c>
    </row>
    <row r="10" spans="1:8" x14ac:dyDescent="0.25">
      <c r="A10">
        <v>8</v>
      </c>
      <c r="B10" t="s">
        <v>98</v>
      </c>
      <c r="C10" s="10">
        <v>0.3125</v>
      </c>
      <c r="D10" s="10">
        <v>0.2708333432674408</v>
      </c>
      <c r="E10" s="10">
        <v>0.58333331346511841</v>
      </c>
      <c r="F10">
        <v>507</v>
      </c>
      <c r="G10">
        <v>509</v>
      </c>
      <c r="H10" t="s">
        <v>511</v>
      </c>
    </row>
    <row r="11" spans="1:8" x14ac:dyDescent="0.25">
      <c r="A11">
        <v>9</v>
      </c>
      <c r="B11" t="s">
        <v>99</v>
      </c>
      <c r="C11" s="10">
        <v>9.375E-2</v>
      </c>
      <c r="D11" s="10">
        <v>0.67708331346511841</v>
      </c>
      <c r="E11" s="10">
        <v>0.77083331346511841</v>
      </c>
      <c r="F11">
        <v>508</v>
      </c>
      <c r="G11">
        <v>510</v>
      </c>
      <c r="H11" t="s">
        <v>512</v>
      </c>
    </row>
    <row r="12" spans="1:8" x14ac:dyDescent="0.25">
      <c r="A12">
        <v>10</v>
      </c>
      <c r="B12" t="s">
        <v>100</v>
      </c>
      <c r="C12" s="10">
        <v>0.2708333432674408</v>
      </c>
      <c r="D12" s="10">
        <v>0.2916666567325592</v>
      </c>
      <c r="E12" s="10">
        <v>0.5625</v>
      </c>
      <c r="F12">
        <v>509</v>
      </c>
    </row>
    <row r="13" spans="1:8" x14ac:dyDescent="0.25">
      <c r="A13">
        <v>11</v>
      </c>
      <c r="B13" t="s">
        <v>101</v>
      </c>
      <c r="C13" s="10">
        <v>4.1666667908430099E-2</v>
      </c>
      <c r="D13" s="10">
        <v>0.54166668653488159</v>
      </c>
      <c r="E13" s="10">
        <v>0.58333331346511841</v>
      </c>
      <c r="F13">
        <v>510</v>
      </c>
    </row>
    <row r="14" spans="1:8" x14ac:dyDescent="0.25">
      <c r="A14">
        <v>12</v>
      </c>
      <c r="B14" t="s">
        <v>102</v>
      </c>
      <c r="C14" s="10">
        <v>9.375E-2</v>
      </c>
      <c r="D14" s="10">
        <v>0.69791668653488159</v>
      </c>
      <c r="E14" s="10">
        <v>0.79166668653488159</v>
      </c>
      <c r="F14">
        <v>501</v>
      </c>
    </row>
    <row r="15" spans="1:8" x14ac:dyDescent="0.25">
      <c r="A15">
        <v>13</v>
      </c>
      <c r="B15" t="s">
        <v>103</v>
      </c>
      <c r="C15" s="10">
        <v>0.125</v>
      </c>
      <c r="D15" s="10">
        <v>0.4375</v>
      </c>
      <c r="E15" s="10">
        <v>0.5625</v>
      </c>
      <c r="F15">
        <v>502</v>
      </c>
    </row>
    <row r="16" spans="1:8" x14ac:dyDescent="0.25">
      <c r="A16">
        <v>14</v>
      </c>
      <c r="B16" t="s">
        <v>104</v>
      </c>
      <c r="C16" s="10">
        <v>0.2604166567325592</v>
      </c>
      <c r="D16" s="10">
        <v>0.34375</v>
      </c>
      <c r="E16" s="10">
        <v>0.60416668653488159</v>
      </c>
      <c r="F16">
        <v>503</v>
      </c>
    </row>
    <row r="17" spans="1:6" x14ac:dyDescent="0.25">
      <c r="A17">
        <v>15</v>
      </c>
      <c r="B17" t="s">
        <v>105</v>
      </c>
      <c r="C17" s="10">
        <v>0.1666666716337204</v>
      </c>
      <c r="D17" s="10">
        <v>0.2916666567325592</v>
      </c>
      <c r="E17" s="10">
        <v>0.4583333432674408</v>
      </c>
      <c r="F17">
        <v>504</v>
      </c>
    </row>
    <row r="18" spans="1:6" x14ac:dyDescent="0.25">
      <c r="A18">
        <v>16</v>
      </c>
      <c r="B18" t="s">
        <v>106</v>
      </c>
      <c r="C18" s="10">
        <v>0.125</v>
      </c>
      <c r="D18" s="10">
        <v>0.375</v>
      </c>
      <c r="E18" s="10">
        <v>0.5</v>
      </c>
      <c r="F18">
        <v>505</v>
      </c>
    </row>
    <row r="19" spans="1:6" x14ac:dyDescent="0.25">
      <c r="A19">
        <v>17</v>
      </c>
      <c r="B19" t="s">
        <v>107</v>
      </c>
      <c r="C19" s="10">
        <v>0.125</v>
      </c>
      <c r="D19" s="10">
        <v>0.3125</v>
      </c>
      <c r="E19" s="10">
        <v>0.4375</v>
      </c>
      <c r="F19">
        <v>506</v>
      </c>
    </row>
    <row r="20" spans="1:6" x14ac:dyDescent="0.25">
      <c r="A20">
        <v>18</v>
      </c>
      <c r="B20" t="s">
        <v>108</v>
      </c>
      <c r="C20" s="10">
        <v>0.1875</v>
      </c>
      <c r="D20" s="10">
        <v>6.9444446125999093E-4</v>
      </c>
      <c r="E20" s="10">
        <v>0.18819443881511688</v>
      </c>
      <c r="F20">
        <v>507</v>
      </c>
    </row>
    <row r="21" spans="1:6" x14ac:dyDescent="0.25">
      <c r="A21">
        <v>19</v>
      </c>
      <c r="B21" t="s">
        <v>109</v>
      </c>
      <c r="C21" s="10">
        <v>0.125</v>
      </c>
      <c r="D21" s="10">
        <v>0.2083333283662796</v>
      </c>
      <c r="E21" s="10">
        <v>0.3333333432674408</v>
      </c>
      <c r="F21">
        <v>508</v>
      </c>
    </row>
    <row r="22" spans="1:6" x14ac:dyDescent="0.25">
      <c r="A22">
        <v>20</v>
      </c>
      <c r="B22" t="s">
        <v>109</v>
      </c>
      <c r="C22" s="10">
        <v>0.1458333283662796</v>
      </c>
      <c r="D22" s="10">
        <v>0.1875</v>
      </c>
      <c r="E22" s="10">
        <v>0.3333333432674408</v>
      </c>
      <c r="F22">
        <v>509</v>
      </c>
    </row>
    <row r="23" spans="1:6" x14ac:dyDescent="0.25">
      <c r="A23">
        <v>21</v>
      </c>
      <c r="B23" t="s">
        <v>110</v>
      </c>
      <c r="C23" s="10">
        <v>0.1770833283662796</v>
      </c>
      <c r="D23" s="10">
        <v>0.75</v>
      </c>
      <c r="E23" s="10">
        <v>0.92708331346511841</v>
      </c>
      <c r="F23">
        <v>510</v>
      </c>
    </row>
    <row r="24" spans="1:6" x14ac:dyDescent="0.25">
      <c r="A24">
        <v>22</v>
      </c>
      <c r="B24" t="s">
        <v>111</v>
      </c>
      <c r="C24" s="10">
        <v>2.083333395421505E-2</v>
      </c>
      <c r="D24" s="10">
        <v>0.5625</v>
      </c>
      <c r="E24" s="10">
        <v>0.58333331346511841</v>
      </c>
      <c r="F24">
        <v>501</v>
      </c>
    </row>
    <row r="25" spans="1:6" x14ac:dyDescent="0.25">
      <c r="A25">
        <v>23</v>
      </c>
      <c r="B25" t="s">
        <v>112</v>
      </c>
      <c r="C25" s="10">
        <v>0.1875</v>
      </c>
      <c r="D25" s="10">
        <v>6.9444446125999093E-4</v>
      </c>
      <c r="E25" s="10">
        <v>0.18819443881511688</v>
      </c>
      <c r="F25">
        <v>502</v>
      </c>
    </row>
    <row r="26" spans="1:6" x14ac:dyDescent="0.25">
      <c r="A26">
        <v>24</v>
      </c>
      <c r="B26" t="s">
        <v>113</v>
      </c>
      <c r="C26" s="10">
        <v>8.3333335816860199E-2</v>
      </c>
      <c r="D26" s="10">
        <v>0.2083333283662796</v>
      </c>
      <c r="E26" s="10">
        <v>0.2916666567325592</v>
      </c>
      <c r="F26">
        <v>503</v>
      </c>
    </row>
    <row r="27" spans="1:6" x14ac:dyDescent="0.25">
      <c r="A27">
        <v>25</v>
      </c>
      <c r="B27" t="s">
        <v>114</v>
      </c>
      <c r="C27" s="10">
        <v>5.2083332091569901E-2</v>
      </c>
      <c r="D27" s="10">
        <v>0.4375</v>
      </c>
      <c r="E27" s="10">
        <v>0.4895833432674408</v>
      </c>
      <c r="F27">
        <v>504</v>
      </c>
    </row>
    <row r="28" spans="1:6" x14ac:dyDescent="0.25">
      <c r="A28">
        <v>26</v>
      </c>
      <c r="B28" t="s">
        <v>115</v>
      </c>
      <c r="C28" s="10">
        <v>9.375E-2</v>
      </c>
      <c r="D28" s="10">
        <v>0.4791666567325592</v>
      </c>
      <c r="E28" s="10">
        <v>0.57291668653488159</v>
      </c>
      <c r="F28">
        <v>505</v>
      </c>
    </row>
    <row r="29" spans="1:6" x14ac:dyDescent="0.25">
      <c r="A29">
        <v>27</v>
      </c>
      <c r="B29" t="s">
        <v>116</v>
      </c>
      <c r="C29" s="10">
        <v>0.2395833283662796</v>
      </c>
      <c r="D29" s="10">
        <v>0.57291668653488159</v>
      </c>
      <c r="E29" s="10">
        <v>0.8125</v>
      </c>
      <c r="F29">
        <v>506</v>
      </c>
    </row>
    <row r="30" spans="1:6" x14ac:dyDescent="0.25">
      <c r="A30">
        <v>28</v>
      </c>
      <c r="B30" t="s">
        <v>117</v>
      </c>
      <c r="C30" s="10">
        <v>5.2083332091569901E-2</v>
      </c>
      <c r="D30" s="10">
        <v>0.79166668653488159</v>
      </c>
      <c r="E30" s="10">
        <v>0.84375</v>
      </c>
      <c r="F30">
        <v>507</v>
      </c>
    </row>
    <row r="31" spans="1:6" x14ac:dyDescent="0.25">
      <c r="A31">
        <v>29</v>
      </c>
      <c r="B31" t="s">
        <v>118</v>
      </c>
      <c r="C31" s="10">
        <v>0.1354166716337204</v>
      </c>
      <c r="D31" s="10">
        <v>0.4583333432674408</v>
      </c>
      <c r="E31" s="10">
        <v>0.59375</v>
      </c>
      <c r="F31">
        <v>508</v>
      </c>
    </row>
    <row r="32" spans="1:6" x14ac:dyDescent="0.25">
      <c r="A32">
        <v>30</v>
      </c>
      <c r="B32" t="s">
        <v>119</v>
      </c>
      <c r="C32" s="10">
        <v>0.2604166567325592</v>
      </c>
      <c r="D32" s="10">
        <v>0.52083331346511841</v>
      </c>
      <c r="E32" s="10">
        <v>0.78125</v>
      </c>
      <c r="F32">
        <v>509</v>
      </c>
    </row>
    <row r="33" spans="1:6" x14ac:dyDescent="0.25">
      <c r="A33">
        <v>31</v>
      </c>
      <c r="B33" t="s">
        <v>120</v>
      </c>
      <c r="C33" s="10">
        <v>0.2291666716337204</v>
      </c>
      <c r="D33" s="10">
        <v>0.2916666567325592</v>
      </c>
      <c r="E33" s="10">
        <v>0.52083331346511841</v>
      </c>
      <c r="F33">
        <v>510</v>
      </c>
    </row>
    <row r="34" spans="1:6" x14ac:dyDescent="0.25">
      <c r="A34">
        <v>32</v>
      </c>
      <c r="B34" t="s">
        <v>120</v>
      </c>
      <c r="C34" s="10">
        <v>0.1875</v>
      </c>
      <c r="D34" s="10">
        <v>0.3125</v>
      </c>
      <c r="E34" s="10">
        <v>0.5</v>
      </c>
      <c r="F34">
        <v>501</v>
      </c>
    </row>
    <row r="35" spans="1:6" x14ac:dyDescent="0.25">
      <c r="A35">
        <v>33</v>
      </c>
      <c r="B35" t="s">
        <v>121</v>
      </c>
      <c r="C35" s="10">
        <v>0.25</v>
      </c>
      <c r="D35" s="10">
        <v>0.4166666567325592</v>
      </c>
      <c r="E35" s="10">
        <v>0.66666668653488159</v>
      </c>
      <c r="F35">
        <v>502</v>
      </c>
    </row>
    <row r="36" spans="1:6" x14ac:dyDescent="0.25">
      <c r="A36">
        <v>34</v>
      </c>
      <c r="B36" t="s">
        <v>102</v>
      </c>
      <c r="C36" s="10">
        <v>0.1145833358168602</v>
      </c>
      <c r="D36" s="10">
        <v>0.67708331346511841</v>
      </c>
      <c r="E36" s="10">
        <v>0.79166668653488159</v>
      </c>
      <c r="F36">
        <v>503</v>
      </c>
    </row>
    <row r="37" spans="1:6" x14ac:dyDescent="0.25">
      <c r="A37">
        <v>35</v>
      </c>
      <c r="B37" t="s">
        <v>122</v>
      </c>
      <c r="C37" s="10">
        <v>3.125E-2</v>
      </c>
      <c r="D37" s="10">
        <v>0.8125</v>
      </c>
      <c r="E37" s="10">
        <v>0.84375</v>
      </c>
      <c r="F37">
        <v>504</v>
      </c>
    </row>
    <row r="38" spans="1:6" x14ac:dyDescent="0.25">
      <c r="A38">
        <v>36</v>
      </c>
      <c r="B38" t="s">
        <v>123</v>
      </c>
      <c r="C38" s="10">
        <v>6.25E-2</v>
      </c>
      <c r="D38" s="10">
        <v>0.4791666567325592</v>
      </c>
      <c r="E38" s="10">
        <v>0.54166668653488159</v>
      </c>
      <c r="F38">
        <v>505</v>
      </c>
    </row>
    <row r="39" spans="1:6" x14ac:dyDescent="0.25">
      <c r="A39">
        <v>37</v>
      </c>
      <c r="B39" t="s">
        <v>124</v>
      </c>
      <c r="C39" s="10">
        <v>0.2083333283662796</v>
      </c>
      <c r="D39" s="10">
        <v>0.375</v>
      </c>
      <c r="E39" s="10">
        <v>0.58333331346511841</v>
      </c>
      <c r="F39">
        <v>506</v>
      </c>
    </row>
    <row r="40" spans="1:6" x14ac:dyDescent="0.25">
      <c r="A40">
        <v>38</v>
      </c>
      <c r="B40" t="s">
        <v>125</v>
      </c>
      <c r="C40" s="10">
        <v>0.1875</v>
      </c>
      <c r="D40" s="10">
        <v>0.77083331346511841</v>
      </c>
      <c r="E40" s="10">
        <v>0.95833331346511841</v>
      </c>
      <c r="F40">
        <v>507</v>
      </c>
    </row>
    <row r="41" spans="1:6" x14ac:dyDescent="0.25">
      <c r="A41">
        <v>39</v>
      </c>
      <c r="B41" t="s">
        <v>126</v>
      </c>
      <c r="C41" s="10">
        <v>0.1666666716337204</v>
      </c>
      <c r="D41" s="10">
        <v>2.083333395421505E-2</v>
      </c>
      <c r="E41" s="10">
        <v>0.1875</v>
      </c>
      <c r="F41">
        <v>508</v>
      </c>
    </row>
    <row r="42" spans="1:6" x14ac:dyDescent="0.25">
      <c r="A42">
        <v>40</v>
      </c>
      <c r="B42" t="s">
        <v>127</v>
      </c>
      <c r="C42" s="10">
        <v>0.3333333432674408</v>
      </c>
      <c r="D42" s="10">
        <v>0.25</v>
      </c>
      <c r="E42" s="10">
        <v>0.58333331346511841</v>
      </c>
      <c r="F42">
        <v>509</v>
      </c>
    </row>
    <row r="43" spans="1:6" x14ac:dyDescent="0.25">
      <c r="A43">
        <v>41</v>
      </c>
      <c r="B43" t="s">
        <v>128</v>
      </c>
      <c r="C43" s="10">
        <v>0.1458333283662796</v>
      </c>
      <c r="D43" s="10">
        <v>0.64583331346511841</v>
      </c>
      <c r="E43" s="10">
        <v>0.79166668653488159</v>
      </c>
      <c r="F43">
        <v>510</v>
      </c>
    </row>
    <row r="44" spans="1:6" x14ac:dyDescent="0.25">
      <c r="A44">
        <v>42</v>
      </c>
      <c r="B44" t="s">
        <v>129</v>
      </c>
      <c r="C44" s="10">
        <v>0</v>
      </c>
      <c r="D44" s="10">
        <v>0.54166668653488159</v>
      </c>
      <c r="E44" s="10">
        <v>0.54166668653488159</v>
      </c>
      <c r="F44">
        <v>501</v>
      </c>
    </row>
    <row r="45" spans="1:6" x14ac:dyDescent="0.25">
      <c r="A45">
        <v>43</v>
      </c>
      <c r="B45" t="s">
        <v>130</v>
      </c>
      <c r="C45" s="10">
        <v>0.2291666716337204</v>
      </c>
      <c r="D45" s="10">
        <v>0.3125</v>
      </c>
      <c r="E45" s="10">
        <v>0.54166668653488159</v>
      </c>
      <c r="F45">
        <v>502</v>
      </c>
    </row>
    <row r="46" spans="1:6" x14ac:dyDescent="0.25">
      <c r="A46">
        <v>44</v>
      </c>
      <c r="B46" t="s">
        <v>131</v>
      </c>
      <c r="C46" s="10">
        <v>0.125</v>
      </c>
      <c r="D46" s="10">
        <v>0.3541666567325592</v>
      </c>
      <c r="E46" s="10">
        <v>0.4791666567325592</v>
      </c>
      <c r="F46">
        <v>503</v>
      </c>
    </row>
    <row r="47" spans="1:6" x14ac:dyDescent="0.25">
      <c r="A47">
        <v>45</v>
      </c>
      <c r="B47" t="s">
        <v>132</v>
      </c>
      <c r="C47" s="10">
        <v>0.2083333283662796</v>
      </c>
      <c r="D47" s="10">
        <v>0.1666666716337204</v>
      </c>
      <c r="E47" s="10">
        <v>0.375</v>
      </c>
      <c r="F47">
        <v>504</v>
      </c>
    </row>
    <row r="48" spans="1:6" x14ac:dyDescent="0.25">
      <c r="A48">
        <v>46</v>
      </c>
      <c r="B48" t="s">
        <v>133</v>
      </c>
      <c r="C48" s="10">
        <v>9.375E-2</v>
      </c>
      <c r="D48" s="10">
        <v>0.66666668653488159</v>
      </c>
      <c r="E48" s="10">
        <v>0.76041668653488159</v>
      </c>
      <c r="F48">
        <v>505</v>
      </c>
    </row>
    <row r="49" spans="1:6" x14ac:dyDescent="0.25">
      <c r="A49">
        <v>47</v>
      </c>
      <c r="B49" t="s">
        <v>134</v>
      </c>
      <c r="C49" s="10">
        <v>0.1666666716337204</v>
      </c>
      <c r="D49" s="10">
        <v>0.1666666716337204</v>
      </c>
      <c r="E49" s="10">
        <v>0.3333333432674408</v>
      </c>
      <c r="F49">
        <v>506</v>
      </c>
    </row>
    <row r="50" spans="1:6" x14ac:dyDescent="0.25">
      <c r="A50">
        <v>48</v>
      </c>
      <c r="B50" t="s">
        <v>135</v>
      </c>
      <c r="C50" s="10">
        <v>0.1875</v>
      </c>
      <c r="D50" s="10">
        <v>0.72916668653488159</v>
      </c>
      <c r="E50" s="10">
        <v>0.91666668653488159</v>
      </c>
      <c r="F50">
        <v>507</v>
      </c>
    </row>
    <row r="51" spans="1:6" x14ac:dyDescent="0.25">
      <c r="A51">
        <v>49</v>
      </c>
      <c r="B51" t="s">
        <v>134</v>
      </c>
      <c r="C51" s="10">
        <v>0.1666666716337204</v>
      </c>
      <c r="D51" s="10">
        <v>0.1666666716337204</v>
      </c>
      <c r="E51" s="10">
        <v>0.3333333432674408</v>
      </c>
      <c r="F51">
        <v>508</v>
      </c>
    </row>
    <row r="52" spans="1:6" x14ac:dyDescent="0.25">
      <c r="A52">
        <v>50</v>
      </c>
      <c r="B52" t="s">
        <v>134</v>
      </c>
      <c r="C52" s="10">
        <v>0.1875</v>
      </c>
      <c r="D52" s="10">
        <v>0.1666666716337204</v>
      </c>
      <c r="E52" s="10">
        <v>0.3541666567325592</v>
      </c>
      <c r="F52">
        <v>509</v>
      </c>
    </row>
    <row r="53" spans="1:6" x14ac:dyDescent="0.25">
      <c r="A53">
        <v>51</v>
      </c>
      <c r="B53" t="s">
        <v>136</v>
      </c>
      <c r="C53" s="10">
        <v>0.2291666716337204</v>
      </c>
      <c r="D53" s="10">
        <v>0.1666666716337204</v>
      </c>
      <c r="E53" s="10">
        <v>0.3958333432674408</v>
      </c>
      <c r="F53">
        <v>510</v>
      </c>
    </row>
    <row r="54" spans="1:6" x14ac:dyDescent="0.25">
      <c r="A54">
        <v>52</v>
      </c>
      <c r="B54" t="s">
        <v>102</v>
      </c>
      <c r="C54" s="10">
        <v>0.1041666641831398</v>
      </c>
      <c r="D54" s="10">
        <v>0.6875</v>
      </c>
      <c r="E54" s="10">
        <v>0.79166668653488159</v>
      </c>
      <c r="F54">
        <v>501</v>
      </c>
    </row>
    <row r="55" spans="1:6" x14ac:dyDescent="0.25">
      <c r="A55">
        <v>53</v>
      </c>
      <c r="B55" t="s">
        <v>137</v>
      </c>
      <c r="C55" s="10">
        <v>0.1666666716337204</v>
      </c>
      <c r="D55" s="10">
        <v>0.1875</v>
      </c>
      <c r="E55" s="10">
        <v>0.3541666567325592</v>
      </c>
      <c r="F55">
        <v>502</v>
      </c>
    </row>
    <row r="56" spans="1:6" x14ac:dyDescent="0.25">
      <c r="A56">
        <v>54</v>
      </c>
      <c r="B56" t="s">
        <v>138</v>
      </c>
      <c r="C56" s="10">
        <v>2.083333395421505E-2</v>
      </c>
      <c r="D56" s="10">
        <v>0.1666666716337204</v>
      </c>
      <c r="E56" s="10">
        <v>0.1875</v>
      </c>
      <c r="F56">
        <v>503</v>
      </c>
    </row>
    <row r="57" spans="1:6" x14ac:dyDescent="0.25">
      <c r="A57">
        <v>55</v>
      </c>
      <c r="B57" t="s">
        <v>139</v>
      </c>
      <c r="C57" s="10">
        <v>9.375E-2</v>
      </c>
      <c r="D57" s="10">
        <v>0.1145833358168602</v>
      </c>
      <c r="E57" s="10">
        <v>0.2083333283662796</v>
      </c>
      <c r="F57">
        <v>504</v>
      </c>
    </row>
    <row r="58" spans="1:6" x14ac:dyDescent="0.25">
      <c r="A58">
        <v>56</v>
      </c>
      <c r="B58" t="s">
        <v>140</v>
      </c>
      <c r="C58" s="10">
        <v>0.1979166716337204</v>
      </c>
      <c r="D58" s="10">
        <v>0.80208331346511841</v>
      </c>
      <c r="E58" s="10">
        <v>0</v>
      </c>
      <c r="F58">
        <v>505</v>
      </c>
    </row>
    <row r="59" spans="1:6" x14ac:dyDescent="0.25">
      <c r="A59">
        <v>57</v>
      </c>
      <c r="B59" t="s">
        <v>130</v>
      </c>
      <c r="C59" s="10">
        <v>0.125</v>
      </c>
      <c r="D59" s="10">
        <v>0.3958333432674408</v>
      </c>
      <c r="E59" s="10">
        <v>0.52083331346511841</v>
      </c>
      <c r="F59">
        <v>506</v>
      </c>
    </row>
    <row r="60" spans="1:6" x14ac:dyDescent="0.25">
      <c r="A60">
        <v>58</v>
      </c>
      <c r="B60" t="s">
        <v>141</v>
      </c>
      <c r="C60" s="10">
        <v>0.1354166716337204</v>
      </c>
      <c r="D60" s="10">
        <v>0.58333331346511841</v>
      </c>
      <c r="E60" s="10">
        <v>0.71875</v>
      </c>
      <c r="F60">
        <v>507</v>
      </c>
    </row>
    <row r="61" spans="1:6" x14ac:dyDescent="0.25">
      <c r="A61">
        <v>59</v>
      </c>
      <c r="B61" t="s">
        <v>130</v>
      </c>
      <c r="C61" s="10">
        <v>0.28125</v>
      </c>
      <c r="D61" s="10">
        <v>0.2708333432674408</v>
      </c>
      <c r="E61" s="10">
        <v>0.55208331346511841</v>
      </c>
      <c r="F61">
        <v>508</v>
      </c>
    </row>
    <row r="62" spans="1:6" x14ac:dyDescent="0.25">
      <c r="A62">
        <v>60</v>
      </c>
      <c r="B62" t="s">
        <v>142</v>
      </c>
      <c r="C62" s="10">
        <v>0.1666666716337204</v>
      </c>
      <c r="D62" s="10">
        <v>0.3333333432674408</v>
      </c>
      <c r="E62" s="10">
        <v>0.5</v>
      </c>
      <c r="F62">
        <v>509</v>
      </c>
    </row>
    <row r="63" spans="1:6" x14ac:dyDescent="0.25">
      <c r="A63">
        <v>61</v>
      </c>
      <c r="B63" t="s">
        <v>143</v>
      </c>
      <c r="C63" s="10">
        <v>0.2291666716337204</v>
      </c>
      <c r="D63" s="10">
        <v>0.1875</v>
      </c>
      <c r="E63" s="10">
        <v>0.4166666567325592</v>
      </c>
      <c r="F63">
        <v>510</v>
      </c>
    </row>
    <row r="64" spans="1:6" x14ac:dyDescent="0.25">
      <c r="A64">
        <v>62</v>
      </c>
      <c r="B64" t="s">
        <v>144</v>
      </c>
    </row>
    <row r="65" spans="1:6" x14ac:dyDescent="0.25">
      <c r="A65">
        <v>63</v>
      </c>
      <c r="B65" t="s">
        <v>145</v>
      </c>
      <c r="C65" s="10">
        <v>0.125</v>
      </c>
      <c r="D65" s="10">
        <v>0.1875</v>
      </c>
      <c r="E65" s="10">
        <v>0.3125</v>
      </c>
      <c r="F65">
        <v>502</v>
      </c>
    </row>
    <row r="66" spans="1:6" x14ac:dyDescent="0.25">
      <c r="A66">
        <v>64</v>
      </c>
      <c r="B66" t="s">
        <v>146</v>
      </c>
      <c r="C66" s="10">
        <v>0.1666666716337204</v>
      </c>
      <c r="D66" s="10">
        <v>0.2083333283662796</v>
      </c>
      <c r="E66" s="10">
        <v>0.375</v>
      </c>
      <c r="F66">
        <v>503</v>
      </c>
    </row>
    <row r="67" spans="1:6" x14ac:dyDescent="0.25">
      <c r="A67">
        <v>65</v>
      </c>
      <c r="B67" t="s">
        <v>147</v>
      </c>
      <c r="C67" s="10">
        <v>0.1458333283662796</v>
      </c>
      <c r="D67" s="10">
        <v>0.3541666567325592</v>
      </c>
      <c r="E67" s="10">
        <v>0.5</v>
      </c>
      <c r="F67">
        <v>504</v>
      </c>
    </row>
    <row r="68" spans="1:6" x14ac:dyDescent="0.25">
      <c r="A68">
        <v>66</v>
      </c>
      <c r="B68" t="s">
        <v>148</v>
      </c>
      <c r="C68" s="10">
        <v>0.2708333432674408</v>
      </c>
      <c r="D68" s="10">
        <v>0.2916666567325592</v>
      </c>
      <c r="E68" s="10">
        <v>0.5625</v>
      </c>
      <c r="F68">
        <v>505</v>
      </c>
    </row>
    <row r="69" spans="1:6" x14ac:dyDescent="0.25">
      <c r="A69">
        <v>67</v>
      </c>
      <c r="B69" t="s">
        <v>149</v>
      </c>
      <c r="C69" s="10">
        <v>0.1666666716337204</v>
      </c>
      <c r="D69" s="10">
        <v>0.1979166716337204</v>
      </c>
      <c r="E69" s="10">
        <v>0.3645833432674408</v>
      </c>
      <c r="F69">
        <v>506</v>
      </c>
    </row>
    <row r="70" spans="1:6" x14ac:dyDescent="0.25">
      <c r="A70">
        <v>68</v>
      </c>
      <c r="B70" t="s">
        <v>150</v>
      </c>
      <c r="C70" s="10">
        <v>0.1666666716337204</v>
      </c>
      <c r="D70" s="10">
        <v>0.2083333283662796</v>
      </c>
      <c r="E70" s="10">
        <v>0.375</v>
      </c>
      <c r="F70">
        <v>507</v>
      </c>
    </row>
    <row r="71" spans="1:6" x14ac:dyDescent="0.25">
      <c r="A71">
        <v>69</v>
      </c>
      <c r="B71" t="s">
        <v>151</v>
      </c>
      <c r="C71" s="10">
        <v>0.2708333432674408</v>
      </c>
      <c r="D71" s="10">
        <v>0.2708333432674408</v>
      </c>
      <c r="E71" s="10">
        <v>0.54166668653488159</v>
      </c>
      <c r="F71">
        <v>508</v>
      </c>
    </row>
    <row r="72" spans="1:6" x14ac:dyDescent="0.25">
      <c r="A72">
        <v>70</v>
      </c>
      <c r="B72" t="s">
        <v>152</v>
      </c>
      <c r="C72" s="10">
        <v>3.125E-2</v>
      </c>
      <c r="D72" s="10">
        <v>0.3645833432674408</v>
      </c>
      <c r="E72" s="10">
        <v>0.3958333432674408</v>
      </c>
      <c r="F72">
        <v>509</v>
      </c>
    </row>
    <row r="73" spans="1:6" x14ac:dyDescent="0.25">
      <c r="A73">
        <v>71</v>
      </c>
      <c r="B73" t="s">
        <v>139</v>
      </c>
      <c r="C73" s="10">
        <v>0.125</v>
      </c>
      <c r="D73" s="10">
        <v>6.25E-2</v>
      </c>
      <c r="E73" s="10">
        <v>0.1875</v>
      </c>
      <c r="F73">
        <v>510</v>
      </c>
    </row>
    <row r="74" spans="1:6" x14ac:dyDescent="0.25">
      <c r="A74">
        <v>72</v>
      </c>
      <c r="B74" t="s">
        <v>153</v>
      </c>
      <c r="C74" s="10">
        <v>0.1458333283662796</v>
      </c>
      <c r="D74" s="10">
        <v>0.2083333283662796</v>
      </c>
      <c r="E74" s="10">
        <v>0.3541666567325592</v>
      </c>
      <c r="F74">
        <v>501</v>
      </c>
    </row>
    <row r="75" spans="1:6" x14ac:dyDescent="0.25">
      <c r="A75">
        <v>73</v>
      </c>
      <c r="B75" t="s">
        <v>154</v>
      </c>
      <c r="C75" s="10">
        <v>0.1145833358168602</v>
      </c>
      <c r="D75" s="10">
        <v>0.1979166716337204</v>
      </c>
      <c r="E75" s="10">
        <v>0.3125</v>
      </c>
      <c r="F75">
        <v>502</v>
      </c>
    </row>
    <row r="76" spans="1:6" x14ac:dyDescent="0.25">
      <c r="A76">
        <v>74</v>
      </c>
      <c r="B76" t="s">
        <v>155</v>
      </c>
      <c r="C76" s="10">
        <v>0.1666666716337204</v>
      </c>
      <c r="D76" s="10">
        <v>0.1979166716337204</v>
      </c>
      <c r="E76" s="10">
        <v>0.3645833432674408</v>
      </c>
      <c r="F76">
        <v>503</v>
      </c>
    </row>
    <row r="77" spans="1:6" x14ac:dyDescent="0.25">
      <c r="A77">
        <v>75</v>
      </c>
      <c r="B77" t="s">
        <v>156</v>
      </c>
      <c r="C77" s="10">
        <v>0.1666666716337204</v>
      </c>
      <c r="D77" s="10">
        <v>0.1875</v>
      </c>
      <c r="E77" s="10">
        <v>0.3541666567325592</v>
      </c>
      <c r="F77">
        <v>504</v>
      </c>
    </row>
    <row r="78" spans="1:6" x14ac:dyDescent="0.25">
      <c r="A78">
        <v>76</v>
      </c>
      <c r="B78" t="s">
        <v>157</v>
      </c>
      <c r="C78" s="10">
        <v>0.1666666716337204</v>
      </c>
      <c r="D78" s="10">
        <v>0.1875</v>
      </c>
      <c r="E78" s="10">
        <v>0.3541666567325592</v>
      </c>
      <c r="F78">
        <v>505</v>
      </c>
    </row>
    <row r="79" spans="1:6" x14ac:dyDescent="0.25">
      <c r="A79">
        <v>77</v>
      </c>
      <c r="B79" t="s">
        <v>158</v>
      </c>
      <c r="C79" s="10">
        <v>8.3333335816860199E-2</v>
      </c>
      <c r="D79" s="10">
        <v>0.3541666567325592</v>
      </c>
      <c r="E79" s="10">
        <v>0.4375</v>
      </c>
      <c r="F79">
        <v>506</v>
      </c>
    </row>
    <row r="80" spans="1:6" x14ac:dyDescent="0.25">
      <c r="A80">
        <v>78</v>
      </c>
      <c r="B80" t="s">
        <v>159</v>
      </c>
      <c r="C80" s="10">
        <v>0.3333333432674408</v>
      </c>
      <c r="D80" s="10">
        <v>0.25</v>
      </c>
      <c r="E80" s="10">
        <v>0.58333331346511841</v>
      </c>
      <c r="F80">
        <v>507</v>
      </c>
    </row>
    <row r="81" spans="1:6" x14ac:dyDescent="0.25">
      <c r="A81">
        <v>79</v>
      </c>
      <c r="B81" t="s">
        <v>160</v>
      </c>
      <c r="C81" s="10">
        <v>0.2916666567325592</v>
      </c>
      <c r="D81" s="10">
        <v>0.3125</v>
      </c>
      <c r="E81" s="10">
        <v>0.60416668653488159</v>
      </c>
      <c r="F81">
        <v>508</v>
      </c>
    </row>
    <row r="82" spans="1:6" x14ac:dyDescent="0.25">
      <c r="A82">
        <v>80</v>
      </c>
      <c r="B82" t="s">
        <v>161</v>
      </c>
      <c r="C82" s="10">
        <v>0.1666666716337204</v>
      </c>
      <c r="D82" s="10">
        <v>0.64583331346511841</v>
      </c>
      <c r="E82" s="10">
        <v>0.8125</v>
      </c>
      <c r="F82">
        <v>509</v>
      </c>
    </row>
    <row r="83" spans="1:6" x14ac:dyDescent="0.25">
      <c r="A83">
        <v>81</v>
      </c>
      <c r="B83" t="s">
        <v>162</v>
      </c>
      <c r="C83" s="10">
        <v>0.1875</v>
      </c>
      <c r="D83" s="10">
        <v>0.52083331346511841</v>
      </c>
      <c r="E83" s="10">
        <v>0.70833331346511841</v>
      </c>
      <c r="F83">
        <v>510</v>
      </c>
    </row>
    <row r="84" spans="1:6" x14ac:dyDescent="0.25">
      <c r="A84">
        <v>82</v>
      </c>
      <c r="B84" t="s">
        <v>163</v>
      </c>
      <c r="C84" s="10">
        <v>0.125</v>
      </c>
      <c r="D84" s="10">
        <v>0.375</v>
      </c>
      <c r="E84" s="10">
        <v>0.5</v>
      </c>
      <c r="F84">
        <v>501</v>
      </c>
    </row>
    <row r="85" spans="1:6" x14ac:dyDescent="0.25">
      <c r="A85">
        <v>83</v>
      </c>
      <c r="B85" t="s">
        <v>164</v>
      </c>
      <c r="C85" s="10">
        <v>0.1875</v>
      </c>
      <c r="D85" s="10">
        <v>0.1666666716337204</v>
      </c>
      <c r="E85" s="10">
        <v>0.3541666567325592</v>
      </c>
      <c r="F85">
        <v>502</v>
      </c>
    </row>
    <row r="86" spans="1:6" x14ac:dyDescent="0.25">
      <c r="A86">
        <v>84</v>
      </c>
      <c r="B86" t="s">
        <v>165</v>
      </c>
      <c r="F86">
        <v>503</v>
      </c>
    </row>
    <row r="87" spans="1:6" x14ac:dyDescent="0.25">
      <c r="A87">
        <v>85</v>
      </c>
      <c r="B87" t="s">
        <v>166</v>
      </c>
      <c r="C87" s="10">
        <v>0.2916666567325592</v>
      </c>
      <c r="D87" s="10">
        <v>0.2916666567325592</v>
      </c>
      <c r="E87" s="10">
        <v>0.58333331346511841</v>
      </c>
      <c r="F87">
        <v>504</v>
      </c>
    </row>
    <row r="88" spans="1:6" x14ac:dyDescent="0.25">
      <c r="A88">
        <v>86</v>
      </c>
      <c r="B88" t="s">
        <v>167</v>
      </c>
      <c r="C88" s="10">
        <v>0.1666666716337204</v>
      </c>
      <c r="D88" s="10">
        <v>0.1875</v>
      </c>
      <c r="E88" s="10">
        <v>0.3541666567325592</v>
      </c>
      <c r="F88">
        <v>505</v>
      </c>
    </row>
    <row r="89" spans="1:6" x14ac:dyDescent="0.25">
      <c r="A89">
        <v>87</v>
      </c>
      <c r="B89" t="s">
        <v>168</v>
      </c>
      <c r="C89" s="10">
        <v>0.2916666567325592</v>
      </c>
      <c r="D89" s="10">
        <v>0.2708333432674408</v>
      </c>
      <c r="E89" s="10">
        <v>0.5625</v>
      </c>
      <c r="F89">
        <v>506</v>
      </c>
    </row>
    <row r="90" spans="1:6" x14ac:dyDescent="0.25">
      <c r="A90">
        <v>89</v>
      </c>
      <c r="B90" t="s">
        <v>169</v>
      </c>
      <c r="C90" s="10">
        <v>0.2708333432674408</v>
      </c>
      <c r="D90" s="10">
        <v>0.375</v>
      </c>
      <c r="E90" s="10">
        <v>0.64583331346511841</v>
      </c>
      <c r="F90">
        <v>507</v>
      </c>
    </row>
    <row r="91" spans="1:6" x14ac:dyDescent="0.25">
      <c r="A91">
        <v>90</v>
      </c>
      <c r="B91" t="s">
        <v>170</v>
      </c>
      <c r="C91" s="10">
        <v>0.25</v>
      </c>
      <c r="D91" s="10">
        <v>0.3541666567325592</v>
      </c>
      <c r="E91" s="10">
        <v>0.60416668653488159</v>
      </c>
      <c r="F91">
        <v>508</v>
      </c>
    </row>
    <row r="92" spans="1:6" x14ac:dyDescent="0.25">
      <c r="A92">
        <v>91</v>
      </c>
      <c r="B92" t="s">
        <v>171</v>
      </c>
      <c r="C92" s="10">
        <v>0.1666666716337204</v>
      </c>
      <c r="D92" s="10">
        <v>1.0416666977107525E-2</v>
      </c>
      <c r="E92" s="10">
        <v>0.1770833283662796</v>
      </c>
      <c r="F92">
        <v>509</v>
      </c>
    </row>
    <row r="93" spans="1:6" x14ac:dyDescent="0.25">
      <c r="A93">
        <v>92</v>
      </c>
      <c r="B93" t="s">
        <v>172</v>
      </c>
      <c r="C93" s="10">
        <v>0.2916666567325592</v>
      </c>
      <c r="D93" s="10">
        <v>0.3125</v>
      </c>
      <c r="E93" s="10">
        <v>0.60416668653488159</v>
      </c>
      <c r="F93">
        <v>510</v>
      </c>
    </row>
    <row r="94" spans="1:6" x14ac:dyDescent="0.25">
      <c r="A94">
        <v>93</v>
      </c>
      <c r="B94" t="s">
        <v>173</v>
      </c>
      <c r="C94" s="10">
        <v>0.25</v>
      </c>
      <c r="D94" s="10">
        <v>0.1875</v>
      </c>
      <c r="E94" s="10">
        <v>0.4375</v>
      </c>
      <c r="F94">
        <v>501</v>
      </c>
    </row>
    <row r="95" spans="1:6" x14ac:dyDescent="0.25">
      <c r="A95">
        <v>94</v>
      </c>
      <c r="B95" t="s">
        <v>174</v>
      </c>
      <c r="C95" s="10">
        <v>0.25</v>
      </c>
      <c r="D95" s="10">
        <v>0.1354166716337204</v>
      </c>
      <c r="E95" s="10">
        <v>0.3854166567325592</v>
      </c>
      <c r="F95">
        <v>502</v>
      </c>
    </row>
    <row r="96" spans="1:6" x14ac:dyDescent="0.25">
      <c r="A96">
        <v>95</v>
      </c>
      <c r="B96" t="s">
        <v>175</v>
      </c>
      <c r="C96" s="10">
        <v>0</v>
      </c>
      <c r="D96" s="10">
        <v>0.2916666567325592</v>
      </c>
      <c r="E96" s="10">
        <v>0.2916666567325592</v>
      </c>
      <c r="F96">
        <v>503</v>
      </c>
    </row>
    <row r="97" spans="1:6" x14ac:dyDescent="0.25">
      <c r="A97">
        <v>96</v>
      </c>
      <c r="B97" t="s">
        <v>176</v>
      </c>
      <c r="C97" s="10">
        <v>0.1666666716337204</v>
      </c>
      <c r="D97" s="10">
        <v>0.1875</v>
      </c>
      <c r="E97" s="10">
        <v>0.3541666567325592</v>
      </c>
      <c r="F97">
        <v>504</v>
      </c>
    </row>
    <row r="98" spans="1:6" x14ac:dyDescent="0.25">
      <c r="A98">
        <v>97</v>
      </c>
      <c r="B98" t="s">
        <v>177</v>
      </c>
      <c r="C98" s="10">
        <v>0.2708333432674408</v>
      </c>
      <c r="D98" s="10">
        <v>0.2916666567325592</v>
      </c>
      <c r="E98" s="10">
        <v>0.5625</v>
      </c>
      <c r="F98">
        <v>505</v>
      </c>
    </row>
    <row r="99" spans="1:6" x14ac:dyDescent="0.25">
      <c r="A99">
        <v>98</v>
      </c>
      <c r="B99" t="s">
        <v>178</v>
      </c>
      <c r="C99" s="10">
        <v>0.25</v>
      </c>
      <c r="D99" s="10">
        <v>0.3333333432674408</v>
      </c>
      <c r="E99" s="10">
        <v>0.58333331346511841</v>
      </c>
      <c r="F99">
        <v>506</v>
      </c>
    </row>
    <row r="100" spans="1:6" x14ac:dyDescent="0.25">
      <c r="A100">
        <v>99</v>
      </c>
      <c r="B100" t="s">
        <v>160</v>
      </c>
      <c r="C100" s="10">
        <v>0.25</v>
      </c>
      <c r="D100" s="10">
        <v>0.28125</v>
      </c>
      <c r="E100" s="10">
        <v>0.53125</v>
      </c>
      <c r="F100">
        <v>507</v>
      </c>
    </row>
    <row r="101" spans="1:6" x14ac:dyDescent="0.25">
      <c r="A101">
        <v>100</v>
      </c>
      <c r="B101" t="s">
        <v>179</v>
      </c>
      <c r="C101" s="10">
        <v>0.1875</v>
      </c>
      <c r="D101" s="10">
        <v>0.58333331346511841</v>
      </c>
      <c r="E101" s="10">
        <v>0.77083331346511841</v>
      </c>
      <c r="F101">
        <v>508</v>
      </c>
    </row>
    <row r="102" spans="1:6" x14ac:dyDescent="0.25">
      <c r="A102">
        <v>101</v>
      </c>
      <c r="B102" t="s">
        <v>180</v>
      </c>
      <c r="C102" s="10">
        <v>0.1041666641831398</v>
      </c>
      <c r="D102" s="10">
        <v>0.66666668653488159</v>
      </c>
      <c r="E102" s="10">
        <v>0.77083331346511841</v>
      </c>
      <c r="F102">
        <v>509</v>
      </c>
    </row>
    <row r="103" spans="1:6" x14ac:dyDescent="0.25">
      <c r="A103">
        <v>102</v>
      </c>
      <c r="B103" t="s">
        <v>181</v>
      </c>
      <c r="C103" s="10">
        <v>0.2916666567325592</v>
      </c>
      <c r="D103" s="10">
        <v>0.2916666567325592</v>
      </c>
      <c r="E103" s="10">
        <v>0.58333331346511841</v>
      </c>
      <c r="F103">
        <v>510</v>
      </c>
    </row>
    <row r="104" spans="1:6" x14ac:dyDescent="0.25">
      <c r="A104">
        <v>103</v>
      </c>
      <c r="B104" t="s">
        <v>182</v>
      </c>
      <c r="C104" s="10">
        <v>6.25E-2</v>
      </c>
      <c r="D104" s="10">
        <v>0.58333331346511841</v>
      </c>
      <c r="E104" s="10">
        <v>0.64583331346511841</v>
      </c>
      <c r="F104">
        <v>501</v>
      </c>
    </row>
    <row r="105" spans="1:6" x14ac:dyDescent="0.25">
      <c r="A105">
        <v>104</v>
      </c>
      <c r="B105" t="s">
        <v>183</v>
      </c>
      <c r="C105" s="10">
        <v>0.1458333283662796</v>
      </c>
      <c r="D105" s="10">
        <v>0.375</v>
      </c>
      <c r="E105" s="10">
        <v>0.52083331346511841</v>
      </c>
      <c r="F105">
        <v>502</v>
      </c>
    </row>
    <row r="106" spans="1:6" x14ac:dyDescent="0.25">
      <c r="A106">
        <v>105</v>
      </c>
      <c r="B106" t="s">
        <v>184</v>
      </c>
      <c r="C106" s="10">
        <v>0.125</v>
      </c>
      <c r="D106" s="10">
        <v>0.60416668653488159</v>
      </c>
      <c r="E106" s="10">
        <v>0.72916668653488159</v>
      </c>
      <c r="F106">
        <v>503</v>
      </c>
    </row>
    <row r="107" spans="1:6" x14ac:dyDescent="0.25">
      <c r="A107">
        <v>106</v>
      </c>
      <c r="B107" t="s">
        <v>160</v>
      </c>
      <c r="C107" s="10">
        <v>0.2291666716337204</v>
      </c>
      <c r="D107" s="10">
        <v>0.2708333432674408</v>
      </c>
      <c r="E107" s="10">
        <v>0.5</v>
      </c>
      <c r="F107">
        <v>504</v>
      </c>
    </row>
    <row r="108" spans="1:6" x14ac:dyDescent="0.25">
      <c r="A108">
        <v>107</v>
      </c>
      <c r="B108" t="s">
        <v>185</v>
      </c>
      <c r="C108" s="10">
        <v>0.125</v>
      </c>
      <c r="D108" s="10">
        <v>0.54166668653488159</v>
      </c>
      <c r="E108" s="10">
        <v>0.66666668653488159</v>
      </c>
      <c r="F108">
        <v>505</v>
      </c>
    </row>
    <row r="109" spans="1:6" x14ac:dyDescent="0.25">
      <c r="A109">
        <v>108</v>
      </c>
      <c r="B109" t="s">
        <v>165</v>
      </c>
      <c r="C109" s="10">
        <v>0</v>
      </c>
      <c r="D109" s="10">
        <v>0</v>
      </c>
      <c r="E109" s="10">
        <v>0</v>
      </c>
    </row>
    <row r="110" spans="1:6" x14ac:dyDescent="0.25">
      <c r="A110">
        <v>109</v>
      </c>
      <c r="B110" t="s">
        <v>186</v>
      </c>
      <c r="C110" s="10">
        <v>0.25</v>
      </c>
      <c r="D110" s="10">
        <v>0.3333333432674408</v>
      </c>
      <c r="E110" s="10">
        <v>0.58333331346511841</v>
      </c>
      <c r="F110">
        <v>507</v>
      </c>
    </row>
    <row r="111" spans="1:6" x14ac:dyDescent="0.25">
      <c r="A111">
        <v>110</v>
      </c>
      <c r="B111" t="s">
        <v>187</v>
      </c>
      <c r="C111" s="10">
        <v>0.1666666716337204</v>
      </c>
      <c r="D111" s="10">
        <v>0.60416668653488159</v>
      </c>
      <c r="E111" s="10">
        <v>0.77083331346511841</v>
      </c>
      <c r="F111">
        <v>508</v>
      </c>
    </row>
    <row r="112" spans="1:6" x14ac:dyDescent="0.25">
      <c r="A112">
        <v>111</v>
      </c>
      <c r="B112" t="s">
        <v>188</v>
      </c>
      <c r="C112" s="10">
        <v>0.2083333283662796</v>
      </c>
      <c r="D112" s="10">
        <v>0.4895833432674408</v>
      </c>
      <c r="E112" s="10">
        <v>0.69791668653488159</v>
      </c>
      <c r="F112">
        <v>509</v>
      </c>
    </row>
    <row r="113" spans="1:6" x14ac:dyDescent="0.25">
      <c r="A113">
        <v>112</v>
      </c>
      <c r="B113" t="s">
        <v>189</v>
      </c>
      <c r="C113" s="10">
        <v>4.1666667908430099E-2</v>
      </c>
      <c r="D113" s="10">
        <v>0.2916666567325592</v>
      </c>
      <c r="E113" s="10">
        <v>0.3333333432674408</v>
      </c>
      <c r="F113">
        <v>510</v>
      </c>
    </row>
    <row r="114" spans="1:6" x14ac:dyDescent="0.25">
      <c r="A114">
        <v>113</v>
      </c>
      <c r="B114" t="s">
        <v>190</v>
      </c>
      <c r="C114" s="10">
        <v>0.15625</v>
      </c>
      <c r="D114" s="10">
        <v>0.3333333432674408</v>
      </c>
      <c r="E114" s="10">
        <v>0.4895833432674408</v>
      </c>
      <c r="F114">
        <v>501</v>
      </c>
    </row>
    <row r="115" spans="1:6" x14ac:dyDescent="0.25">
      <c r="A115">
        <v>114</v>
      </c>
      <c r="B115" t="s">
        <v>191</v>
      </c>
      <c r="C115" s="10">
        <v>0.125</v>
      </c>
      <c r="D115" s="10">
        <v>0.59375</v>
      </c>
      <c r="E115" s="10">
        <v>0.71875</v>
      </c>
      <c r="F115">
        <v>502</v>
      </c>
    </row>
    <row r="116" spans="1:6" x14ac:dyDescent="0.25">
      <c r="A116">
        <v>115</v>
      </c>
      <c r="B116" t="s">
        <v>192</v>
      </c>
      <c r="C116" s="10">
        <v>9.375E-2</v>
      </c>
      <c r="D116" s="10">
        <v>0.75</v>
      </c>
      <c r="E116" s="10">
        <v>0.84375</v>
      </c>
      <c r="F116">
        <v>503</v>
      </c>
    </row>
    <row r="117" spans="1:6" x14ac:dyDescent="0.25">
      <c r="A117">
        <v>116</v>
      </c>
      <c r="B117" t="s">
        <v>192</v>
      </c>
      <c r="C117" s="10">
        <v>6.25E-2</v>
      </c>
      <c r="D117" s="10">
        <v>8.3333335816860199E-2</v>
      </c>
      <c r="E117" s="10">
        <v>0.1458333283662796</v>
      </c>
      <c r="F117">
        <v>504</v>
      </c>
    </row>
    <row r="118" spans="1:6" x14ac:dyDescent="0.25">
      <c r="A118">
        <v>117</v>
      </c>
      <c r="B118" t="s">
        <v>193</v>
      </c>
      <c r="C118" s="10">
        <v>0.2708333432674408</v>
      </c>
      <c r="D118" s="10">
        <v>0.3541666567325592</v>
      </c>
      <c r="E118" s="10">
        <v>0.625</v>
      </c>
      <c r="F118">
        <v>505</v>
      </c>
    </row>
    <row r="119" spans="1:6" x14ac:dyDescent="0.25">
      <c r="A119">
        <v>118</v>
      </c>
      <c r="B119" t="s">
        <v>194</v>
      </c>
      <c r="C119" s="10">
        <v>5.2083332091569901E-2</v>
      </c>
      <c r="D119" s="10">
        <v>0.51041668653488159</v>
      </c>
      <c r="E119" s="10">
        <v>0.5625</v>
      </c>
      <c r="F119">
        <v>506</v>
      </c>
    </row>
    <row r="120" spans="1:6" x14ac:dyDescent="0.25">
      <c r="A120">
        <v>119</v>
      </c>
      <c r="B120" t="s">
        <v>195</v>
      </c>
      <c r="C120" s="10">
        <v>0.1354166716337204</v>
      </c>
      <c r="D120" s="10">
        <v>0.57291668653488159</v>
      </c>
      <c r="E120" s="10">
        <v>0.70833331346511841</v>
      </c>
      <c r="F120">
        <v>507</v>
      </c>
    </row>
    <row r="121" spans="1:6" x14ac:dyDescent="0.25">
      <c r="A121">
        <v>120</v>
      </c>
      <c r="B121" t="s">
        <v>196</v>
      </c>
      <c r="C121" s="10">
        <v>9.375E-2</v>
      </c>
      <c r="D121" s="10">
        <v>0.59375</v>
      </c>
      <c r="E121" s="10">
        <v>0.6875</v>
      </c>
      <c r="F121">
        <v>508</v>
      </c>
    </row>
    <row r="122" spans="1:6" x14ac:dyDescent="0.25">
      <c r="A122">
        <v>121</v>
      </c>
      <c r="B122" t="s">
        <v>197</v>
      </c>
      <c r="C122" s="10">
        <v>0.15625</v>
      </c>
      <c r="D122" s="10">
        <v>0.1979166716337204</v>
      </c>
      <c r="E122" s="10">
        <v>0.3541666567325592</v>
      </c>
      <c r="F122">
        <v>509</v>
      </c>
    </row>
    <row r="123" spans="1:6" x14ac:dyDescent="0.25">
      <c r="A123">
        <v>122</v>
      </c>
      <c r="B123" t="s">
        <v>198</v>
      </c>
      <c r="C123" s="10">
        <v>0.15625</v>
      </c>
      <c r="D123" s="10">
        <v>0.3645833432674408</v>
      </c>
      <c r="E123" s="10">
        <v>0.52083331346511841</v>
      </c>
      <c r="F123">
        <v>510</v>
      </c>
    </row>
    <row r="124" spans="1:6" x14ac:dyDescent="0.25">
      <c r="A124">
        <v>123</v>
      </c>
      <c r="B124" t="s">
        <v>199</v>
      </c>
      <c r="C124" s="10">
        <v>0.1041666641831398</v>
      </c>
      <c r="D124" s="10">
        <v>0.2291666716337204</v>
      </c>
      <c r="E124" s="10">
        <v>0.3333333432674408</v>
      </c>
      <c r="F124">
        <v>501</v>
      </c>
    </row>
    <row r="125" spans="1:6" x14ac:dyDescent="0.25">
      <c r="A125">
        <v>124</v>
      </c>
      <c r="B125" t="s">
        <v>200</v>
      </c>
      <c r="C125" s="10">
        <v>0.25</v>
      </c>
      <c r="D125" s="10">
        <v>0.3333333432674408</v>
      </c>
      <c r="E125" s="10">
        <v>0.58333331346511841</v>
      </c>
      <c r="F125">
        <v>502</v>
      </c>
    </row>
    <row r="126" spans="1:6" x14ac:dyDescent="0.25">
      <c r="A126">
        <v>125</v>
      </c>
      <c r="B126" t="s">
        <v>201</v>
      </c>
      <c r="C126" s="10">
        <v>0.2291666716337204</v>
      </c>
      <c r="D126" s="10">
        <v>0.52083331346511841</v>
      </c>
      <c r="E126" s="10">
        <v>0.75</v>
      </c>
      <c r="F126">
        <v>503</v>
      </c>
    </row>
    <row r="127" spans="1:6" x14ac:dyDescent="0.25">
      <c r="A127">
        <v>126</v>
      </c>
      <c r="B127" t="s">
        <v>202</v>
      </c>
      <c r="C127" s="10">
        <v>0.1145833358168602</v>
      </c>
      <c r="D127" s="10">
        <v>9.375E-2</v>
      </c>
      <c r="E127" s="10">
        <v>0.2083333283662796</v>
      </c>
      <c r="F127">
        <v>504</v>
      </c>
    </row>
    <row r="128" spans="1:6" x14ac:dyDescent="0.25">
      <c r="A128">
        <v>127</v>
      </c>
      <c r="B128" t="s">
        <v>203</v>
      </c>
      <c r="C128" s="10">
        <v>0.125</v>
      </c>
      <c r="D128" s="10">
        <v>0.25</v>
      </c>
      <c r="E128" s="10">
        <v>0.375</v>
      </c>
      <c r="F128">
        <v>505</v>
      </c>
    </row>
    <row r="129" spans="1:6" x14ac:dyDescent="0.25">
      <c r="A129">
        <v>128</v>
      </c>
      <c r="B129" t="s">
        <v>204</v>
      </c>
      <c r="C129" s="10">
        <v>0.125</v>
      </c>
      <c r="D129" s="10">
        <v>0.25</v>
      </c>
      <c r="E129" s="10">
        <v>0.375</v>
      </c>
      <c r="F129">
        <v>506</v>
      </c>
    </row>
    <row r="130" spans="1:6" x14ac:dyDescent="0.25">
      <c r="A130">
        <v>129</v>
      </c>
      <c r="B130" t="s">
        <v>205</v>
      </c>
      <c r="C130" s="10">
        <v>0.2291666716337204</v>
      </c>
      <c r="D130" s="10">
        <v>0.3541666567325592</v>
      </c>
      <c r="E130" s="10">
        <v>0.58333331346511841</v>
      </c>
      <c r="F130">
        <v>507</v>
      </c>
    </row>
    <row r="131" spans="1:6" x14ac:dyDescent="0.25">
      <c r="A131">
        <v>130</v>
      </c>
      <c r="B131" t="s">
        <v>206</v>
      </c>
      <c r="C131" s="10">
        <v>0.125</v>
      </c>
      <c r="D131" s="10">
        <v>0.25</v>
      </c>
      <c r="E131" s="10">
        <v>0.375</v>
      </c>
      <c r="F131">
        <v>508</v>
      </c>
    </row>
    <row r="132" spans="1:6" x14ac:dyDescent="0.25">
      <c r="A132">
        <v>131</v>
      </c>
      <c r="B132" t="s">
        <v>207</v>
      </c>
      <c r="C132" s="10">
        <v>0.1145833358168602</v>
      </c>
      <c r="D132" s="10">
        <v>0.25</v>
      </c>
      <c r="E132" s="10">
        <v>0.3645833432674408</v>
      </c>
      <c r="F132">
        <v>509</v>
      </c>
    </row>
    <row r="133" spans="1:6" x14ac:dyDescent="0.25">
      <c r="A133">
        <v>132</v>
      </c>
      <c r="B133" t="s">
        <v>208</v>
      </c>
      <c r="C133" s="10">
        <v>0.1979166716337204</v>
      </c>
      <c r="D133" s="10">
        <v>0.125</v>
      </c>
      <c r="E133" s="10">
        <v>0.3229166567325592</v>
      </c>
      <c r="F133">
        <v>510</v>
      </c>
    </row>
    <row r="134" spans="1:6" x14ac:dyDescent="0.25">
      <c r="A134">
        <v>133</v>
      </c>
      <c r="B134" t="s">
        <v>209</v>
      </c>
      <c r="C134" s="10">
        <v>0.1041666641831398</v>
      </c>
      <c r="D134" s="10">
        <v>0.34375</v>
      </c>
      <c r="E134" s="10">
        <v>0.4479166567325592</v>
      </c>
      <c r="F134">
        <v>501</v>
      </c>
    </row>
    <row r="135" spans="1:6" x14ac:dyDescent="0.25">
      <c r="A135">
        <v>134</v>
      </c>
      <c r="B135" t="s">
        <v>210</v>
      </c>
      <c r="C135" s="10">
        <v>9.375E-2</v>
      </c>
      <c r="D135" s="10">
        <v>0.66666668653488159</v>
      </c>
      <c r="E135" s="10">
        <v>0.76041668653488159</v>
      </c>
      <c r="F135">
        <v>502</v>
      </c>
    </row>
    <row r="136" spans="1:6" x14ac:dyDescent="0.25">
      <c r="A136">
        <v>135</v>
      </c>
      <c r="B136" t="s">
        <v>211</v>
      </c>
      <c r="C136" s="10">
        <v>0.1666666716337204</v>
      </c>
      <c r="D136" s="10">
        <v>0.4583333432674408</v>
      </c>
      <c r="E136" s="10">
        <v>0.625</v>
      </c>
      <c r="F136">
        <v>503</v>
      </c>
    </row>
    <row r="137" spans="1:6" x14ac:dyDescent="0.25">
      <c r="A137">
        <v>136</v>
      </c>
      <c r="B137" t="s">
        <v>212</v>
      </c>
      <c r="C137" s="10">
        <v>0.2291666716337204</v>
      </c>
      <c r="D137" s="10">
        <v>0.64583331346511841</v>
      </c>
      <c r="E137" s="10">
        <v>0.875</v>
      </c>
      <c r="F137">
        <v>504</v>
      </c>
    </row>
    <row r="138" spans="1:6" x14ac:dyDescent="0.25">
      <c r="A138">
        <v>137</v>
      </c>
      <c r="B138" t="s">
        <v>213</v>
      </c>
      <c r="C138" s="10">
        <v>0.125</v>
      </c>
      <c r="D138" s="10">
        <v>0.58333331346511841</v>
      </c>
      <c r="E138" s="10">
        <v>0.70833331346511841</v>
      </c>
      <c r="F138">
        <v>505</v>
      </c>
    </row>
    <row r="139" spans="1:6" x14ac:dyDescent="0.25">
      <c r="A139">
        <v>138</v>
      </c>
      <c r="B139" t="s">
        <v>214</v>
      </c>
      <c r="C139" s="10">
        <v>0.1458333283662796</v>
      </c>
      <c r="D139" s="10">
        <v>0.3854166567325592</v>
      </c>
      <c r="E139" s="10">
        <v>0.53125</v>
      </c>
      <c r="F139">
        <v>506</v>
      </c>
    </row>
    <row r="140" spans="1:6" x14ac:dyDescent="0.25">
      <c r="A140">
        <v>139</v>
      </c>
      <c r="B140" t="s">
        <v>215</v>
      </c>
      <c r="C140" s="10">
        <v>9.375E-2</v>
      </c>
      <c r="D140" s="10">
        <v>0.6875</v>
      </c>
      <c r="E140" s="10">
        <v>0.78125</v>
      </c>
      <c r="F140">
        <v>507</v>
      </c>
    </row>
    <row r="141" spans="1:6" x14ac:dyDescent="0.25">
      <c r="A141">
        <v>140</v>
      </c>
      <c r="B141" t="s">
        <v>216</v>
      </c>
      <c r="C141" s="10">
        <v>0.2083333283662796</v>
      </c>
      <c r="D141" s="10">
        <v>0.8125</v>
      </c>
      <c r="E141" s="10">
        <v>2.083333395421505E-2</v>
      </c>
      <c r="F141">
        <v>508</v>
      </c>
    </row>
    <row r="142" spans="1:6" x14ac:dyDescent="0.25">
      <c r="A142">
        <v>141</v>
      </c>
      <c r="B142" t="s">
        <v>139</v>
      </c>
      <c r="C142" s="10">
        <v>0.2083333283662796</v>
      </c>
      <c r="D142" s="10">
        <v>8.3333335816860199E-2</v>
      </c>
      <c r="E142" s="10">
        <v>0.2916666567325592</v>
      </c>
      <c r="F142">
        <v>509</v>
      </c>
    </row>
    <row r="143" spans="1:6" x14ac:dyDescent="0.25">
      <c r="A143">
        <v>142</v>
      </c>
      <c r="B143" t="s">
        <v>217</v>
      </c>
      <c r="C143" s="10">
        <v>0.2083333283662796</v>
      </c>
      <c r="D143" s="10">
        <v>0.51041668653488159</v>
      </c>
      <c r="E143" s="10">
        <v>0.71875</v>
      </c>
      <c r="F143">
        <v>510</v>
      </c>
    </row>
    <row r="144" spans="1:6" x14ac:dyDescent="0.25">
      <c r="A144">
        <v>143</v>
      </c>
      <c r="B144" t="s">
        <v>218</v>
      </c>
      <c r="C144" s="10">
        <v>0.2708333432674408</v>
      </c>
      <c r="D144" s="10">
        <v>0.85416668653488159</v>
      </c>
      <c r="E144" s="10">
        <v>0.125</v>
      </c>
      <c r="F144">
        <v>501</v>
      </c>
    </row>
    <row r="145" spans="1:6" x14ac:dyDescent="0.25">
      <c r="A145">
        <v>144</v>
      </c>
      <c r="B145" t="s">
        <v>219</v>
      </c>
      <c r="C145" s="10">
        <v>0.21875</v>
      </c>
      <c r="D145" s="10">
        <v>0.46875</v>
      </c>
      <c r="E145" s="10">
        <v>0.6875</v>
      </c>
      <c r="F145">
        <v>502</v>
      </c>
    </row>
    <row r="146" spans="1:6" x14ac:dyDescent="0.25">
      <c r="A146">
        <v>145</v>
      </c>
      <c r="B146" t="s">
        <v>220</v>
      </c>
      <c r="C146" s="10">
        <v>0.125</v>
      </c>
      <c r="D146" s="10">
        <v>0.25</v>
      </c>
      <c r="E146" s="10">
        <v>0.375</v>
      </c>
      <c r="F146">
        <v>503</v>
      </c>
    </row>
    <row r="147" spans="1:6" x14ac:dyDescent="0.25">
      <c r="A147">
        <v>146</v>
      </c>
      <c r="B147" t="s">
        <v>221</v>
      </c>
      <c r="C147" s="10">
        <v>0.1145833358168602</v>
      </c>
      <c r="D147" s="10">
        <v>0.25</v>
      </c>
      <c r="E147" s="10">
        <v>0.3645833432674408</v>
      </c>
      <c r="F147">
        <v>504</v>
      </c>
    </row>
    <row r="148" spans="1:6" x14ac:dyDescent="0.25">
      <c r="A148">
        <v>147</v>
      </c>
      <c r="B148" t="s">
        <v>222</v>
      </c>
      <c r="C148" s="10">
        <v>0.2708333432674408</v>
      </c>
      <c r="D148" s="10">
        <v>0.2708333432674408</v>
      </c>
      <c r="E148" s="10">
        <v>0.54166668653488159</v>
      </c>
      <c r="F148">
        <v>505</v>
      </c>
    </row>
    <row r="149" spans="1:6" x14ac:dyDescent="0.25">
      <c r="A149">
        <v>148</v>
      </c>
      <c r="B149" t="s">
        <v>223</v>
      </c>
      <c r="C149" s="10">
        <v>8.3333335816860199E-2</v>
      </c>
      <c r="D149" s="10">
        <v>0.3645833432674408</v>
      </c>
      <c r="E149" s="10">
        <v>0.4479166567325592</v>
      </c>
      <c r="F149">
        <v>506</v>
      </c>
    </row>
    <row r="150" spans="1:6" x14ac:dyDescent="0.25">
      <c r="A150">
        <v>149</v>
      </c>
      <c r="B150" t="s">
        <v>170</v>
      </c>
      <c r="C150" s="10">
        <v>0.2083333283662796</v>
      </c>
      <c r="D150" s="10">
        <v>0.3333333432674408</v>
      </c>
      <c r="E150" s="10">
        <v>0.54166668653488159</v>
      </c>
      <c r="F150">
        <v>507</v>
      </c>
    </row>
    <row r="151" spans="1:6" x14ac:dyDescent="0.25">
      <c r="A151">
        <v>150</v>
      </c>
      <c r="B151" t="s">
        <v>224</v>
      </c>
      <c r="C151" s="10">
        <v>0.21875</v>
      </c>
      <c r="D151" s="10">
        <v>0.96875</v>
      </c>
      <c r="E151" s="10">
        <v>0.1875</v>
      </c>
      <c r="F151">
        <v>508</v>
      </c>
    </row>
    <row r="152" spans="1:6" x14ac:dyDescent="0.25">
      <c r="A152">
        <v>151</v>
      </c>
      <c r="B152" t="s">
        <v>225</v>
      </c>
      <c r="C152" s="10">
        <v>0.2916666567325592</v>
      </c>
      <c r="D152" s="10">
        <v>0.2916666567325592</v>
      </c>
      <c r="E152" s="10">
        <v>0.58333331346511841</v>
      </c>
      <c r="F152">
        <v>509</v>
      </c>
    </row>
    <row r="153" spans="1:6" x14ac:dyDescent="0.25">
      <c r="A153">
        <v>152</v>
      </c>
      <c r="B153" t="s">
        <v>226</v>
      </c>
      <c r="C153" s="10">
        <v>0.25</v>
      </c>
      <c r="D153" s="10">
        <v>0.3333333432674408</v>
      </c>
      <c r="E153" s="10">
        <v>0.58333331346511841</v>
      </c>
      <c r="F153">
        <v>510</v>
      </c>
    </row>
    <row r="154" spans="1:6" x14ac:dyDescent="0.25">
      <c r="A154">
        <v>153</v>
      </c>
      <c r="B154" t="s">
        <v>227</v>
      </c>
      <c r="C154" s="10">
        <v>0.1354166716337204</v>
      </c>
      <c r="D154" s="10">
        <v>6.25E-2</v>
      </c>
      <c r="E154" s="10">
        <v>0.1979166716337204</v>
      </c>
      <c r="F154">
        <v>501</v>
      </c>
    </row>
    <row r="155" spans="1:6" x14ac:dyDescent="0.25">
      <c r="A155">
        <v>154</v>
      </c>
      <c r="B155" t="s">
        <v>228</v>
      </c>
      <c r="C155" s="10">
        <v>0.1041666641831398</v>
      </c>
      <c r="D155" s="10">
        <v>0.2083333283662796</v>
      </c>
      <c r="E155" s="10">
        <v>0.3125</v>
      </c>
      <c r="F155">
        <v>502</v>
      </c>
    </row>
    <row r="156" spans="1:6" x14ac:dyDescent="0.25">
      <c r="A156">
        <v>155</v>
      </c>
      <c r="B156" t="s">
        <v>229</v>
      </c>
      <c r="C156" s="10">
        <v>0.25</v>
      </c>
      <c r="D156" s="10">
        <v>0.2916666567325592</v>
      </c>
      <c r="E156" s="10">
        <v>0.54166668653488159</v>
      </c>
      <c r="F156">
        <v>503</v>
      </c>
    </row>
    <row r="157" spans="1:6" x14ac:dyDescent="0.25">
      <c r="A157">
        <v>156</v>
      </c>
      <c r="B157" t="s">
        <v>230</v>
      </c>
      <c r="C157" s="10">
        <v>4.1666667908430099E-2</v>
      </c>
      <c r="D157" s="10">
        <v>0.57291668653488159</v>
      </c>
      <c r="E157" s="10">
        <v>0.61458331346511841</v>
      </c>
      <c r="F157">
        <v>504</v>
      </c>
    </row>
    <row r="158" spans="1:6" x14ac:dyDescent="0.25">
      <c r="A158">
        <v>157</v>
      </c>
      <c r="B158" t="s">
        <v>231</v>
      </c>
      <c r="C158" s="10">
        <v>0.2291666716337204</v>
      </c>
      <c r="D158" s="10">
        <v>0.2708333432674408</v>
      </c>
      <c r="E158" s="10">
        <v>0.5</v>
      </c>
      <c r="F158">
        <v>505</v>
      </c>
    </row>
    <row r="159" spans="1:6" x14ac:dyDescent="0.25">
      <c r="A159">
        <v>158</v>
      </c>
      <c r="B159" t="s">
        <v>232</v>
      </c>
      <c r="C159" s="10">
        <v>0.2604166567325592</v>
      </c>
      <c r="D159" s="10">
        <v>0.3333333432674408</v>
      </c>
      <c r="E159" s="10">
        <v>0.59375</v>
      </c>
      <c r="F159">
        <v>506</v>
      </c>
    </row>
    <row r="160" spans="1:6" x14ac:dyDescent="0.25">
      <c r="A160">
        <v>159</v>
      </c>
      <c r="B160" t="s">
        <v>233</v>
      </c>
      <c r="C160" s="10">
        <v>0.2291666716337204</v>
      </c>
      <c r="D160" s="10">
        <v>0.9375</v>
      </c>
      <c r="E160" s="10">
        <v>0.1666666716337204</v>
      </c>
      <c r="F160">
        <v>507</v>
      </c>
    </row>
    <row r="161" spans="1:6" x14ac:dyDescent="0.25">
      <c r="A161">
        <v>160</v>
      </c>
      <c r="B161" t="s">
        <v>234</v>
      </c>
      <c r="C161" s="10">
        <v>0.2291666716337204</v>
      </c>
      <c r="D161" s="10">
        <v>0.1666666716337204</v>
      </c>
      <c r="E161" s="10">
        <v>0.3958333432674408</v>
      </c>
      <c r="F161">
        <v>508</v>
      </c>
    </row>
    <row r="162" spans="1:6" x14ac:dyDescent="0.25">
      <c r="A162">
        <v>161</v>
      </c>
      <c r="B162" t="s">
        <v>235</v>
      </c>
      <c r="C162" s="10">
        <v>0.1979166716337204</v>
      </c>
      <c r="D162" s="10">
        <v>0.4166666567325592</v>
      </c>
      <c r="E162" s="10">
        <v>0.61458331346511841</v>
      </c>
      <c r="F162">
        <v>509</v>
      </c>
    </row>
    <row r="163" spans="1:6" x14ac:dyDescent="0.25">
      <c r="A163">
        <v>162</v>
      </c>
      <c r="B163" t="s">
        <v>236</v>
      </c>
      <c r="C163" s="10">
        <v>0.1145833358168602</v>
      </c>
      <c r="D163" s="10">
        <v>0.64583331346511841</v>
      </c>
      <c r="E163" s="10">
        <v>0.76041668653488159</v>
      </c>
      <c r="F163">
        <v>510</v>
      </c>
    </row>
    <row r="164" spans="1:6" x14ac:dyDescent="0.25">
      <c r="A164">
        <v>163</v>
      </c>
      <c r="B164" t="s">
        <v>92</v>
      </c>
      <c r="C164" s="10">
        <v>8.3333335816860199E-2</v>
      </c>
      <c r="D164" s="10">
        <v>0.52083331346511841</v>
      </c>
      <c r="E164" s="10">
        <v>0.60416668653488159</v>
      </c>
      <c r="F164">
        <v>501</v>
      </c>
    </row>
    <row r="165" spans="1:6" x14ac:dyDescent="0.25">
      <c r="A165">
        <v>164</v>
      </c>
      <c r="B165" t="s">
        <v>232</v>
      </c>
      <c r="C165" s="10">
        <v>0.2083333283662796</v>
      </c>
      <c r="D165" s="10">
        <v>0.2916666567325592</v>
      </c>
      <c r="E165" s="10">
        <v>0.5</v>
      </c>
      <c r="F165">
        <v>502</v>
      </c>
    </row>
    <row r="166" spans="1:6" x14ac:dyDescent="0.25">
      <c r="A166">
        <v>165</v>
      </c>
      <c r="B166" t="s">
        <v>95</v>
      </c>
      <c r="C166" s="10">
        <v>0.1041666641831398</v>
      </c>
      <c r="D166" s="10">
        <v>0.52083331346511841</v>
      </c>
      <c r="E166" s="10">
        <v>0.625</v>
      </c>
      <c r="F166">
        <v>503</v>
      </c>
    </row>
    <row r="167" spans="1:6" x14ac:dyDescent="0.25">
      <c r="A167">
        <v>166</v>
      </c>
      <c r="B167" t="s">
        <v>237</v>
      </c>
      <c r="C167" s="10">
        <v>0.2083333283662796</v>
      </c>
      <c r="D167" s="10">
        <v>0.53125</v>
      </c>
      <c r="E167" s="10">
        <v>0.73958331346511841</v>
      </c>
      <c r="F167">
        <v>504</v>
      </c>
    </row>
    <row r="168" spans="1:6" x14ac:dyDescent="0.25">
      <c r="A168">
        <v>167</v>
      </c>
      <c r="B168" t="s">
        <v>216</v>
      </c>
      <c r="C168" s="10">
        <v>0.21875</v>
      </c>
      <c r="D168" s="10">
        <v>0.77083331346511841</v>
      </c>
      <c r="E168" s="10">
        <v>0.98958331346511841</v>
      </c>
      <c r="F168">
        <v>505</v>
      </c>
    </row>
    <row r="169" spans="1:6" x14ac:dyDescent="0.25">
      <c r="A169">
        <v>168</v>
      </c>
      <c r="B169" t="s">
        <v>238</v>
      </c>
      <c r="C169" s="10">
        <v>0.1458333283662796</v>
      </c>
      <c r="D169" s="10">
        <v>1.0416666977107525E-2</v>
      </c>
      <c r="E169" s="10">
        <v>0.15625</v>
      </c>
      <c r="F169">
        <v>506</v>
      </c>
    </row>
    <row r="170" spans="1:6" x14ac:dyDescent="0.25">
      <c r="A170">
        <v>169</v>
      </c>
      <c r="B170" t="s">
        <v>239</v>
      </c>
      <c r="C170" s="10">
        <v>5.2083332091569901E-2</v>
      </c>
      <c r="D170" s="10">
        <v>7.2916664183139801E-2</v>
      </c>
      <c r="E170" s="10">
        <v>0.125</v>
      </c>
      <c r="F170">
        <v>507</v>
      </c>
    </row>
    <row r="171" spans="1:6" x14ac:dyDescent="0.25">
      <c r="A171">
        <v>170</v>
      </c>
      <c r="B171" t="s">
        <v>240</v>
      </c>
      <c r="C171" s="10">
        <v>0.1458333283662796</v>
      </c>
      <c r="D171" s="10">
        <v>0.3541666567325592</v>
      </c>
      <c r="E171" s="10">
        <v>0.5</v>
      </c>
      <c r="F171">
        <v>508</v>
      </c>
    </row>
    <row r="172" spans="1:6" x14ac:dyDescent="0.25">
      <c r="A172">
        <v>171</v>
      </c>
      <c r="B172" t="s">
        <v>241</v>
      </c>
      <c r="C172" s="10">
        <v>0.3333333432674408</v>
      </c>
      <c r="D172" s="10">
        <v>0.2916666567325592</v>
      </c>
      <c r="E172" s="10">
        <v>0.625</v>
      </c>
      <c r="F172">
        <v>509</v>
      </c>
    </row>
    <row r="173" spans="1:6" x14ac:dyDescent="0.25">
      <c r="A173">
        <v>172</v>
      </c>
      <c r="B173" t="s">
        <v>114</v>
      </c>
      <c r="C173" s="10">
        <v>8.3333335816860199E-2</v>
      </c>
      <c r="D173" s="10">
        <v>0.25</v>
      </c>
      <c r="E173" s="10">
        <v>0.3333333432674408</v>
      </c>
      <c r="F173">
        <v>510</v>
      </c>
    </row>
    <row r="174" spans="1:6" x14ac:dyDescent="0.25">
      <c r="A174">
        <v>173</v>
      </c>
      <c r="B174" t="s">
        <v>242</v>
      </c>
      <c r="C174" s="10">
        <v>0.25</v>
      </c>
      <c r="D174" s="10">
        <v>0.3333333432674408</v>
      </c>
      <c r="E174" s="10">
        <v>0.58333331346511841</v>
      </c>
      <c r="F174">
        <v>501</v>
      </c>
    </row>
    <row r="175" spans="1:6" x14ac:dyDescent="0.25">
      <c r="A175">
        <v>174</v>
      </c>
      <c r="B175" t="s">
        <v>243</v>
      </c>
      <c r="C175" s="10">
        <v>0.1041666641831398</v>
      </c>
      <c r="D175" s="10">
        <v>0.53125</v>
      </c>
      <c r="E175" s="10">
        <v>0.63541668653488159</v>
      </c>
      <c r="F175">
        <v>502</v>
      </c>
    </row>
    <row r="176" spans="1:6" x14ac:dyDescent="0.25">
      <c r="A176">
        <v>175</v>
      </c>
      <c r="B176" t="s">
        <v>244</v>
      </c>
      <c r="C176" s="10">
        <v>0.4166666567325592</v>
      </c>
      <c r="D176" s="10">
        <v>0.3541666567325592</v>
      </c>
      <c r="E176" s="10">
        <v>0.77083331346511841</v>
      </c>
      <c r="F176">
        <v>503</v>
      </c>
    </row>
    <row r="177" spans="1:6" x14ac:dyDescent="0.25">
      <c r="A177">
        <v>176</v>
      </c>
      <c r="B177" t="s">
        <v>245</v>
      </c>
      <c r="C177" s="10">
        <v>0.3125</v>
      </c>
      <c r="D177" s="10">
        <v>0.2916666567325592</v>
      </c>
      <c r="E177" s="10">
        <v>0.60416668653488159</v>
      </c>
      <c r="F177">
        <v>504</v>
      </c>
    </row>
    <row r="178" spans="1:6" x14ac:dyDescent="0.25">
      <c r="A178">
        <v>177</v>
      </c>
      <c r="B178" t="s">
        <v>246</v>
      </c>
      <c r="C178" s="10">
        <v>8.3333335816860199E-2</v>
      </c>
      <c r="D178" s="10">
        <v>0.54166668653488159</v>
      </c>
      <c r="E178" s="10">
        <v>0.625</v>
      </c>
      <c r="F178">
        <v>505</v>
      </c>
    </row>
    <row r="179" spans="1:6" x14ac:dyDescent="0.25">
      <c r="A179">
        <v>178</v>
      </c>
      <c r="B179" t="s">
        <v>247</v>
      </c>
      <c r="C179" s="10">
        <v>0.125</v>
      </c>
      <c r="D179" s="10">
        <v>0.3333333432674408</v>
      </c>
      <c r="E179" s="10">
        <v>0.4583333432674408</v>
      </c>
      <c r="F179">
        <v>506</v>
      </c>
    </row>
    <row r="180" spans="1:6" x14ac:dyDescent="0.25">
      <c r="A180">
        <v>179</v>
      </c>
      <c r="B180" t="s">
        <v>248</v>
      </c>
      <c r="C180" s="10">
        <v>0.2916666567325592</v>
      </c>
      <c r="D180" s="10">
        <v>0.4583333432674408</v>
      </c>
      <c r="E180" s="10">
        <v>0.75</v>
      </c>
      <c r="F180">
        <v>507</v>
      </c>
    </row>
    <row r="181" spans="1:6" x14ac:dyDescent="0.25">
      <c r="A181">
        <v>180</v>
      </c>
      <c r="B181" t="s">
        <v>249</v>
      </c>
      <c r="C181" s="10">
        <v>0.1666666716337204</v>
      </c>
      <c r="D181" s="10">
        <v>0.5625</v>
      </c>
      <c r="E181" s="10">
        <v>0.72916668653488159</v>
      </c>
      <c r="F181">
        <v>508</v>
      </c>
    </row>
    <row r="182" spans="1:6" x14ac:dyDescent="0.25">
      <c r="A182">
        <v>181</v>
      </c>
      <c r="B182" t="s">
        <v>246</v>
      </c>
      <c r="C182" s="10">
        <v>0.125</v>
      </c>
      <c r="D182" s="10">
        <v>0.64583331346511841</v>
      </c>
      <c r="E182" s="10">
        <v>0.77083331346511841</v>
      </c>
      <c r="F182">
        <v>509</v>
      </c>
    </row>
    <row r="183" spans="1:6" x14ac:dyDescent="0.25">
      <c r="A183">
        <v>182</v>
      </c>
      <c r="B183" t="s">
        <v>250</v>
      </c>
      <c r="C183" s="10">
        <v>0.2083333283662796</v>
      </c>
      <c r="D183" s="10">
        <v>0.3958333432674408</v>
      </c>
      <c r="E183" s="10">
        <v>0.60416668653488159</v>
      </c>
      <c r="F183">
        <v>510</v>
      </c>
    </row>
    <row r="184" spans="1:6" x14ac:dyDescent="0.25">
      <c r="A184">
        <v>183</v>
      </c>
      <c r="B184" t="s">
        <v>251</v>
      </c>
      <c r="C184" s="10">
        <v>0.2916666567325592</v>
      </c>
      <c r="D184" s="10">
        <v>0.3541666567325592</v>
      </c>
      <c r="E184" s="10">
        <v>0.64583331346511841</v>
      </c>
      <c r="F184">
        <v>501</v>
      </c>
    </row>
    <row r="185" spans="1:6" x14ac:dyDescent="0.25">
      <c r="A185">
        <v>184</v>
      </c>
      <c r="B185" t="s">
        <v>252</v>
      </c>
      <c r="C185" s="10">
        <v>0.1770833283662796</v>
      </c>
      <c r="D185" s="10">
        <v>0.60416668653488159</v>
      </c>
      <c r="E185" s="10">
        <v>0.78125</v>
      </c>
      <c r="F185">
        <v>502</v>
      </c>
    </row>
    <row r="186" spans="1:6" x14ac:dyDescent="0.25">
      <c r="A186">
        <v>185</v>
      </c>
      <c r="B186" t="s">
        <v>253</v>
      </c>
      <c r="C186" s="10">
        <v>0.1666666716337204</v>
      </c>
      <c r="D186" s="10">
        <v>0.625</v>
      </c>
      <c r="E186" s="10">
        <v>0.79166668653488159</v>
      </c>
      <c r="F186">
        <v>503</v>
      </c>
    </row>
    <row r="187" spans="1:6" x14ac:dyDescent="0.25">
      <c r="A187">
        <v>186</v>
      </c>
      <c r="B187" t="s">
        <v>254</v>
      </c>
      <c r="C187" s="10">
        <v>0.1041666641831398</v>
      </c>
      <c r="D187" s="10">
        <v>0.52083331346511841</v>
      </c>
      <c r="E187" s="10">
        <v>0.625</v>
      </c>
      <c r="F187">
        <v>504</v>
      </c>
    </row>
    <row r="188" spans="1:6" x14ac:dyDescent="0.25">
      <c r="A188">
        <v>187</v>
      </c>
      <c r="B188" t="s">
        <v>255</v>
      </c>
      <c r="C188" s="10">
        <v>0.2708333432674408</v>
      </c>
      <c r="D188" s="10">
        <v>0.52083331346511841</v>
      </c>
      <c r="E188" s="10">
        <v>0.79166668653488159</v>
      </c>
      <c r="F188">
        <v>505</v>
      </c>
    </row>
    <row r="189" spans="1:6" x14ac:dyDescent="0.25">
      <c r="A189">
        <v>188</v>
      </c>
      <c r="B189" t="s">
        <v>256</v>
      </c>
      <c r="C189" s="10">
        <v>0.2916666567325592</v>
      </c>
      <c r="D189" s="10">
        <v>0.64583331346511841</v>
      </c>
      <c r="E189" s="10">
        <v>0.9375</v>
      </c>
      <c r="F189">
        <v>506</v>
      </c>
    </row>
    <row r="190" spans="1:6" x14ac:dyDescent="0.25">
      <c r="A190">
        <v>189</v>
      </c>
      <c r="B190" t="s">
        <v>257</v>
      </c>
      <c r="C190" s="10">
        <v>0.1875</v>
      </c>
      <c r="D190" s="10">
        <v>0.1041666641831398</v>
      </c>
      <c r="E190" s="10">
        <v>0.2916666567325592</v>
      </c>
      <c r="F190">
        <v>507</v>
      </c>
    </row>
    <row r="191" spans="1:6" x14ac:dyDescent="0.25">
      <c r="A191">
        <v>190</v>
      </c>
      <c r="B191" t="s">
        <v>258</v>
      </c>
      <c r="C191" s="10">
        <v>0.2604166567325592</v>
      </c>
      <c r="D191" s="10">
        <v>0.53125</v>
      </c>
      <c r="E191" s="10">
        <v>0.79166668653488159</v>
      </c>
      <c r="F191">
        <v>508</v>
      </c>
    </row>
    <row r="192" spans="1:6" x14ac:dyDescent="0.25">
      <c r="A192">
        <v>191</v>
      </c>
      <c r="B192" t="s">
        <v>259</v>
      </c>
      <c r="C192" s="10">
        <v>0.1354166716337204</v>
      </c>
      <c r="D192" s="10">
        <v>0.5625</v>
      </c>
      <c r="E192" s="10">
        <v>0.69791668653488159</v>
      </c>
      <c r="F192">
        <v>509</v>
      </c>
    </row>
    <row r="193" spans="1:6" x14ac:dyDescent="0.25">
      <c r="A193">
        <v>192</v>
      </c>
      <c r="B193" t="s">
        <v>260</v>
      </c>
      <c r="C193" s="10">
        <v>0.1666666716337204</v>
      </c>
      <c r="D193" s="10">
        <v>0.55208331346511841</v>
      </c>
      <c r="E193" s="10">
        <v>0.71875</v>
      </c>
      <c r="F193">
        <v>510</v>
      </c>
    </row>
    <row r="194" spans="1:6" x14ac:dyDescent="0.25">
      <c r="A194">
        <v>193</v>
      </c>
      <c r="B194" t="s">
        <v>261</v>
      </c>
      <c r="C194" s="10">
        <v>0.125</v>
      </c>
      <c r="D194" s="10">
        <v>0.55208331346511841</v>
      </c>
      <c r="E194" s="10">
        <v>0.67708331346511841</v>
      </c>
      <c r="F194">
        <v>501</v>
      </c>
    </row>
    <row r="195" spans="1:6" x14ac:dyDescent="0.25">
      <c r="A195">
        <v>194</v>
      </c>
      <c r="B195" t="s">
        <v>262</v>
      </c>
      <c r="C195" s="10">
        <v>0.2083333283662796</v>
      </c>
      <c r="D195" s="10">
        <v>0.9375</v>
      </c>
      <c r="E195" s="10">
        <v>0.1458333283662796</v>
      </c>
      <c r="F195">
        <v>502</v>
      </c>
    </row>
    <row r="196" spans="1:6" x14ac:dyDescent="0.25">
      <c r="A196">
        <v>195</v>
      </c>
      <c r="B196" t="s">
        <v>263</v>
      </c>
      <c r="C196" s="10">
        <v>0.1770833283662796</v>
      </c>
      <c r="D196" s="10">
        <v>0.1666666716337204</v>
      </c>
      <c r="E196" s="10">
        <v>0.34375</v>
      </c>
      <c r="F196">
        <v>503</v>
      </c>
    </row>
    <row r="197" spans="1:6" x14ac:dyDescent="0.25">
      <c r="A197">
        <v>196</v>
      </c>
      <c r="B197" t="s">
        <v>264</v>
      </c>
      <c r="C197" s="10">
        <v>0.1875</v>
      </c>
      <c r="D197" s="10">
        <v>0.89583331346511841</v>
      </c>
      <c r="E197" s="10">
        <v>8.3333335816860199E-2</v>
      </c>
      <c r="F197">
        <v>504</v>
      </c>
    </row>
    <row r="198" spans="1:6" x14ac:dyDescent="0.25">
      <c r="A198">
        <v>197</v>
      </c>
      <c r="B198" t="s">
        <v>265</v>
      </c>
      <c r="C198" s="10">
        <v>0.1875</v>
      </c>
      <c r="D198" s="10">
        <v>0.1041666641831398</v>
      </c>
      <c r="E198" s="10">
        <v>0.2916666567325592</v>
      </c>
      <c r="F198">
        <v>505</v>
      </c>
    </row>
    <row r="199" spans="1:6" x14ac:dyDescent="0.25">
      <c r="A199">
        <v>198</v>
      </c>
      <c r="B199" t="s">
        <v>266</v>
      </c>
      <c r="C199" s="10">
        <v>0.375</v>
      </c>
      <c r="D199" s="10">
        <v>0.53125</v>
      </c>
      <c r="E199" s="10">
        <v>0.90625</v>
      </c>
      <c r="F199">
        <v>506</v>
      </c>
    </row>
    <row r="200" spans="1:6" x14ac:dyDescent="0.25">
      <c r="A200">
        <v>199</v>
      </c>
      <c r="B200" t="s">
        <v>267</v>
      </c>
      <c r="C200" s="10">
        <v>0.2916666567325592</v>
      </c>
      <c r="D200" s="10">
        <v>0.54166668653488159</v>
      </c>
      <c r="E200" s="10">
        <v>0.83333331346511841</v>
      </c>
      <c r="F200">
        <v>507</v>
      </c>
    </row>
    <row r="201" spans="1:6" x14ac:dyDescent="0.25">
      <c r="A201">
        <v>200</v>
      </c>
      <c r="B201" t="s">
        <v>268</v>
      </c>
      <c r="C201" s="10">
        <v>0.2916666567325592</v>
      </c>
      <c r="D201" s="10">
        <v>0.54166668653488159</v>
      </c>
      <c r="E201" s="10">
        <v>0.83333331346511841</v>
      </c>
      <c r="F201">
        <v>508</v>
      </c>
    </row>
    <row r="202" spans="1:6" x14ac:dyDescent="0.25">
      <c r="A202">
        <v>201</v>
      </c>
      <c r="B202" t="s">
        <v>269</v>
      </c>
      <c r="C202" s="10">
        <v>0.3541666567325592</v>
      </c>
      <c r="D202" s="10">
        <v>0.60416668653488159</v>
      </c>
      <c r="E202" s="10">
        <v>0.95833331346511841</v>
      </c>
      <c r="F202">
        <v>509</v>
      </c>
    </row>
    <row r="203" spans="1:6" x14ac:dyDescent="0.25">
      <c r="A203">
        <v>202</v>
      </c>
      <c r="B203" t="s">
        <v>270</v>
      </c>
      <c r="C203" s="10">
        <v>0.1875</v>
      </c>
      <c r="D203" s="10">
        <v>0.625</v>
      </c>
      <c r="E203" s="10">
        <v>0.8125</v>
      </c>
      <c r="F203">
        <v>510</v>
      </c>
    </row>
    <row r="204" spans="1:6" x14ac:dyDescent="0.25">
      <c r="A204">
        <v>203</v>
      </c>
      <c r="B204" t="s">
        <v>271</v>
      </c>
      <c r="C204" s="10">
        <v>0.1666666716337204</v>
      </c>
      <c r="D204" s="10">
        <v>0.64583331346511841</v>
      </c>
      <c r="E204" s="10">
        <v>0.8125</v>
      </c>
      <c r="F204">
        <v>501</v>
      </c>
    </row>
    <row r="205" spans="1:6" x14ac:dyDescent="0.25">
      <c r="A205">
        <v>204</v>
      </c>
      <c r="B205" t="s">
        <v>272</v>
      </c>
      <c r="C205" s="10">
        <v>0.1041666641831398</v>
      </c>
      <c r="D205" s="10">
        <v>0.5625</v>
      </c>
      <c r="E205" s="10">
        <v>0.66666668653488159</v>
      </c>
      <c r="F205">
        <v>502</v>
      </c>
    </row>
    <row r="206" spans="1:6" x14ac:dyDescent="0.25">
      <c r="A206">
        <v>205</v>
      </c>
      <c r="B206" t="s">
        <v>273</v>
      </c>
      <c r="C206" s="10">
        <v>0.1875</v>
      </c>
      <c r="D206" s="10">
        <v>0.375</v>
      </c>
      <c r="E206" s="10">
        <v>0.5625</v>
      </c>
      <c r="F206">
        <v>503</v>
      </c>
    </row>
    <row r="207" spans="1:6" x14ac:dyDescent="0.25">
      <c r="A207">
        <v>206</v>
      </c>
      <c r="B207" t="s">
        <v>274</v>
      </c>
      <c r="C207" s="10">
        <v>0.2083333283662796</v>
      </c>
      <c r="D207" s="10">
        <v>0.52083331346511841</v>
      </c>
      <c r="E207" s="10">
        <v>0.72916668653488159</v>
      </c>
      <c r="F207">
        <v>504</v>
      </c>
    </row>
    <row r="208" spans="1:6" x14ac:dyDescent="0.25">
      <c r="A208">
        <v>207</v>
      </c>
      <c r="B208" t="s">
        <v>274</v>
      </c>
      <c r="C208" s="10">
        <v>0.1666666716337204</v>
      </c>
      <c r="D208" s="10">
        <v>0.75</v>
      </c>
      <c r="E208" s="10">
        <v>0.91666668653488159</v>
      </c>
      <c r="F208">
        <v>505</v>
      </c>
    </row>
    <row r="209" spans="1:6" x14ac:dyDescent="0.25">
      <c r="A209">
        <v>208</v>
      </c>
      <c r="B209" t="s">
        <v>275</v>
      </c>
      <c r="C209" s="10">
        <v>0.2083333283662796</v>
      </c>
      <c r="D209" s="10">
        <v>0.89583331346511841</v>
      </c>
      <c r="E209" s="10">
        <v>0.1041666641831398</v>
      </c>
      <c r="F209">
        <v>506</v>
      </c>
    </row>
    <row r="210" spans="1:6" x14ac:dyDescent="0.25">
      <c r="A210">
        <v>209</v>
      </c>
      <c r="B210" t="s">
        <v>276</v>
      </c>
      <c r="C210" s="10">
        <v>0.2083333283662796</v>
      </c>
      <c r="D210" s="10">
        <v>0.72916668653488159</v>
      </c>
      <c r="E210" s="10">
        <v>0.9375</v>
      </c>
      <c r="F210">
        <v>507</v>
      </c>
    </row>
    <row r="211" spans="1:6" x14ac:dyDescent="0.25">
      <c r="A211">
        <v>210</v>
      </c>
      <c r="B211" t="s">
        <v>277</v>
      </c>
      <c r="C211" s="10">
        <v>9.375E-2</v>
      </c>
      <c r="D211" s="10">
        <v>0.54166668653488159</v>
      </c>
      <c r="E211" s="10">
        <v>0.63541668653488159</v>
      </c>
      <c r="F211">
        <v>508</v>
      </c>
    </row>
    <row r="212" spans="1:6" x14ac:dyDescent="0.25">
      <c r="A212">
        <v>211</v>
      </c>
      <c r="B212" t="s">
        <v>278</v>
      </c>
      <c r="C212" s="10">
        <v>0.2083333283662796</v>
      </c>
      <c r="D212" s="10">
        <v>0.1041666641831398</v>
      </c>
      <c r="E212" s="10">
        <v>0.3125</v>
      </c>
      <c r="F212">
        <v>509</v>
      </c>
    </row>
    <row r="213" spans="1:6" x14ac:dyDescent="0.25">
      <c r="A213">
        <v>212</v>
      </c>
      <c r="B213" t="s">
        <v>265</v>
      </c>
      <c r="C213" s="10">
        <v>0.2083333283662796</v>
      </c>
      <c r="D213" s="10">
        <v>0.58333331346511841</v>
      </c>
      <c r="E213" s="10">
        <v>0.79166668653488159</v>
      </c>
      <c r="F213">
        <v>510</v>
      </c>
    </row>
    <row r="214" spans="1:6" x14ac:dyDescent="0.25">
      <c r="A214">
        <v>213</v>
      </c>
      <c r="B214" t="s">
        <v>279</v>
      </c>
      <c r="C214" s="10">
        <v>8.3333335816860199E-2</v>
      </c>
      <c r="D214" s="10">
        <v>0.2083333283662796</v>
      </c>
      <c r="E214" s="10">
        <v>0.2916666567325592</v>
      </c>
      <c r="F214">
        <v>501</v>
      </c>
    </row>
    <row r="215" spans="1:6" x14ac:dyDescent="0.25">
      <c r="A215">
        <v>214</v>
      </c>
      <c r="B215" t="s">
        <v>280</v>
      </c>
      <c r="C215" s="10">
        <v>8.3333335816860199E-2</v>
      </c>
      <c r="D215" s="10">
        <v>0.67708331346511841</v>
      </c>
      <c r="E215" s="10">
        <v>0.76041668653488159</v>
      </c>
      <c r="F215">
        <v>502</v>
      </c>
    </row>
    <row r="216" spans="1:6" x14ac:dyDescent="0.25">
      <c r="A216">
        <v>215</v>
      </c>
      <c r="B216" t="s">
        <v>281</v>
      </c>
      <c r="C216" s="10">
        <v>8.3333335816860199E-2</v>
      </c>
      <c r="D216" s="10">
        <v>0.59375</v>
      </c>
      <c r="E216" s="10">
        <v>0.67708331346511841</v>
      </c>
      <c r="F216">
        <v>503</v>
      </c>
    </row>
    <row r="217" spans="1:6" x14ac:dyDescent="0.25">
      <c r="A217">
        <v>216</v>
      </c>
      <c r="B217" t="s">
        <v>282</v>
      </c>
      <c r="C217" s="10">
        <v>0.1458333283662796</v>
      </c>
      <c r="D217" s="10">
        <v>0.52083331346511841</v>
      </c>
      <c r="E217" s="10">
        <v>0.66666668653488159</v>
      </c>
      <c r="F217">
        <v>504</v>
      </c>
    </row>
    <row r="218" spans="1:6" x14ac:dyDescent="0.25">
      <c r="A218">
        <v>217</v>
      </c>
      <c r="B218" t="s">
        <v>283</v>
      </c>
      <c r="C218" s="10">
        <v>0.125</v>
      </c>
      <c r="D218" s="10">
        <v>0.625</v>
      </c>
      <c r="E218" s="10">
        <v>0.75</v>
      </c>
      <c r="F218">
        <v>505</v>
      </c>
    </row>
    <row r="219" spans="1:6" x14ac:dyDescent="0.25">
      <c r="A219">
        <v>218</v>
      </c>
      <c r="B219" t="s">
        <v>284</v>
      </c>
      <c r="C219" s="10">
        <v>2.083333395421505E-2</v>
      </c>
      <c r="D219" s="10">
        <v>0.77083331346511841</v>
      </c>
      <c r="E219" s="10">
        <v>0.79166668653488159</v>
      </c>
      <c r="F219">
        <v>506</v>
      </c>
    </row>
    <row r="220" spans="1:6" x14ac:dyDescent="0.25">
      <c r="A220">
        <v>219</v>
      </c>
      <c r="B220" t="s">
        <v>285</v>
      </c>
      <c r="C220" s="10">
        <v>0.125</v>
      </c>
      <c r="D220" s="10">
        <v>0.64583331346511841</v>
      </c>
      <c r="E220" s="10">
        <v>0.77083331346511841</v>
      </c>
      <c r="F220">
        <v>507</v>
      </c>
    </row>
    <row r="221" spans="1:6" x14ac:dyDescent="0.25">
      <c r="A221">
        <v>220</v>
      </c>
      <c r="B221" t="s">
        <v>286</v>
      </c>
      <c r="C221" s="10">
        <v>0.125</v>
      </c>
      <c r="D221" s="10">
        <v>0.2604166567325592</v>
      </c>
      <c r="E221" s="10">
        <v>0.3854166567325592</v>
      </c>
      <c r="F221">
        <v>508</v>
      </c>
    </row>
    <row r="222" spans="1:6" x14ac:dyDescent="0.25">
      <c r="A222">
        <v>221</v>
      </c>
      <c r="B222" t="s">
        <v>287</v>
      </c>
      <c r="C222" s="10">
        <v>0.125</v>
      </c>
      <c r="D222" s="10">
        <v>0.3958333432674408</v>
      </c>
      <c r="E222" s="10">
        <v>0.52083331346511841</v>
      </c>
      <c r="F222">
        <v>509</v>
      </c>
    </row>
    <row r="223" spans="1:6" x14ac:dyDescent="0.25">
      <c r="A223">
        <v>222</v>
      </c>
      <c r="B223" t="s">
        <v>288</v>
      </c>
      <c r="C223" s="10">
        <v>7.2916664183139801E-2</v>
      </c>
      <c r="D223" s="10">
        <v>0.21875</v>
      </c>
      <c r="E223" s="10">
        <v>0.2916666567325592</v>
      </c>
      <c r="F223">
        <v>510</v>
      </c>
    </row>
    <row r="224" spans="1:6" x14ac:dyDescent="0.25">
      <c r="A224">
        <v>223</v>
      </c>
      <c r="B224" t="s">
        <v>289</v>
      </c>
      <c r="C224" s="10">
        <v>0.1666666716337204</v>
      </c>
      <c r="D224" s="10">
        <v>0.46875</v>
      </c>
      <c r="E224" s="10">
        <v>0.63541668653488159</v>
      </c>
      <c r="F224">
        <v>501</v>
      </c>
    </row>
    <row r="225" spans="1:6" x14ac:dyDescent="0.25">
      <c r="A225">
        <v>224</v>
      </c>
      <c r="B225" t="s">
        <v>290</v>
      </c>
      <c r="C225" s="10">
        <v>4.1666667908430099E-2</v>
      </c>
      <c r="D225" s="10">
        <v>0.4166666567325592</v>
      </c>
      <c r="E225" s="10">
        <v>0.4583333432674408</v>
      </c>
      <c r="F225">
        <v>502</v>
      </c>
    </row>
    <row r="226" spans="1:6" x14ac:dyDescent="0.25">
      <c r="A226">
        <v>225</v>
      </c>
      <c r="B226" t="s">
        <v>291</v>
      </c>
      <c r="C226" s="10">
        <v>0.2395833283662796</v>
      </c>
      <c r="D226" s="10">
        <v>0.4583333432674408</v>
      </c>
      <c r="E226" s="10">
        <v>0.69791668653488159</v>
      </c>
      <c r="F226">
        <v>503</v>
      </c>
    </row>
    <row r="227" spans="1:6" x14ac:dyDescent="0.25">
      <c r="A227">
        <v>226</v>
      </c>
      <c r="B227" t="s">
        <v>292</v>
      </c>
      <c r="C227" s="10">
        <v>0.2083333283662796</v>
      </c>
      <c r="D227" s="10">
        <v>0.5</v>
      </c>
      <c r="E227" s="10">
        <v>0.70833331346511841</v>
      </c>
      <c r="F227">
        <v>504</v>
      </c>
    </row>
    <row r="228" spans="1:6" x14ac:dyDescent="0.25">
      <c r="A228">
        <v>227</v>
      </c>
      <c r="B228" t="s">
        <v>293</v>
      </c>
      <c r="C228" s="10">
        <v>0.2083333283662796</v>
      </c>
      <c r="D228" s="10">
        <v>0.75</v>
      </c>
      <c r="E228" s="10">
        <v>0.95833331346511841</v>
      </c>
      <c r="F228">
        <v>505</v>
      </c>
    </row>
    <row r="229" spans="1:6" x14ac:dyDescent="0.25">
      <c r="A229">
        <v>228</v>
      </c>
      <c r="B229" t="s">
        <v>294</v>
      </c>
      <c r="C229" s="10">
        <v>0.1666666716337204</v>
      </c>
      <c r="D229" s="10">
        <v>0.97916668653488159</v>
      </c>
      <c r="E229" s="10">
        <v>0.1458333283662796</v>
      </c>
      <c r="F229">
        <v>506</v>
      </c>
    </row>
    <row r="230" spans="1:6" x14ac:dyDescent="0.25">
      <c r="A230">
        <v>229</v>
      </c>
      <c r="B230" t="s">
        <v>295</v>
      </c>
      <c r="C230" s="10">
        <v>0.21875</v>
      </c>
      <c r="D230" s="10">
        <v>0.73958331346511841</v>
      </c>
      <c r="E230" s="10">
        <v>0.95833331346511841</v>
      </c>
      <c r="F230">
        <v>507</v>
      </c>
    </row>
    <row r="231" spans="1:6" x14ac:dyDescent="0.25">
      <c r="A231">
        <v>230</v>
      </c>
      <c r="B231" t="s">
        <v>296</v>
      </c>
      <c r="C231" s="10">
        <v>0.15625</v>
      </c>
      <c r="D231" s="10">
        <v>0.97916668653488159</v>
      </c>
      <c r="E231" s="10">
        <v>0.1354166716337204</v>
      </c>
      <c r="F231">
        <v>508</v>
      </c>
    </row>
    <row r="232" spans="1:6" x14ac:dyDescent="0.25">
      <c r="A232">
        <v>231</v>
      </c>
      <c r="B232" t="s">
        <v>297</v>
      </c>
      <c r="C232" s="10">
        <v>0.1666666716337204</v>
      </c>
      <c r="D232" s="10">
        <v>0.77083331346511841</v>
      </c>
      <c r="E232" s="10">
        <v>0.9375</v>
      </c>
      <c r="F232">
        <v>509</v>
      </c>
    </row>
    <row r="233" spans="1:6" x14ac:dyDescent="0.25">
      <c r="A233">
        <v>232</v>
      </c>
      <c r="B233" t="s">
        <v>298</v>
      </c>
      <c r="C233" s="10">
        <v>0.1666666716337204</v>
      </c>
      <c r="D233" s="10">
        <v>0.95833331346511841</v>
      </c>
      <c r="E233" s="10">
        <v>0.125</v>
      </c>
      <c r="F233">
        <v>510</v>
      </c>
    </row>
    <row r="234" spans="1:6" x14ac:dyDescent="0.25">
      <c r="A234">
        <v>233</v>
      </c>
      <c r="B234" t="s">
        <v>299</v>
      </c>
      <c r="C234" s="10">
        <v>0.1875</v>
      </c>
      <c r="D234" s="10">
        <v>0.77083331346511841</v>
      </c>
      <c r="E234" s="10">
        <v>0.95833331346511841</v>
      </c>
      <c r="F234">
        <v>501</v>
      </c>
    </row>
    <row r="235" spans="1:6" x14ac:dyDescent="0.25">
      <c r="A235">
        <v>234</v>
      </c>
      <c r="B235" t="s">
        <v>300</v>
      </c>
      <c r="C235" s="10">
        <v>0.125</v>
      </c>
      <c r="D235" s="10">
        <v>0.97916668653488159</v>
      </c>
      <c r="E235" s="10">
        <v>0.1041666641831398</v>
      </c>
      <c r="F235">
        <v>502</v>
      </c>
    </row>
    <row r="236" spans="1:6" x14ac:dyDescent="0.25">
      <c r="A236">
        <v>235</v>
      </c>
      <c r="B236" t="s">
        <v>301</v>
      </c>
      <c r="C236" s="10">
        <v>0.1145833358168602</v>
      </c>
      <c r="D236" s="10">
        <v>0.72916668653488159</v>
      </c>
      <c r="E236" s="10">
        <v>0.84375</v>
      </c>
      <c r="F236">
        <v>503</v>
      </c>
    </row>
    <row r="237" spans="1:6" x14ac:dyDescent="0.25">
      <c r="A237">
        <v>236</v>
      </c>
      <c r="B237" t="s">
        <v>302</v>
      </c>
      <c r="C237" s="10">
        <v>0.2291666716337204</v>
      </c>
      <c r="D237" s="10">
        <v>0.85416668653488159</v>
      </c>
      <c r="E237" s="10">
        <v>8.3333335816860199E-2</v>
      </c>
      <c r="F237">
        <v>504</v>
      </c>
    </row>
    <row r="238" spans="1:6" x14ac:dyDescent="0.25">
      <c r="A238">
        <v>237</v>
      </c>
      <c r="B238" t="s">
        <v>303</v>
      </c>
      <c r="C238" s="10">
        <v>0.1666666716337204</v>
      </c>
      <c r="D238" s="10">
        <v>0.875</v>
      </c>
      <c r="E238" s="10">
        <v>4.1666667908430099E-2</v>
      </c>
      <c r="F238">
        <v>505</v>
      </c>
    </row>
    <row r="239" spans="1:6" x14ac:dyDescent="0.25">
      <c r="A239">
        <v>238</v>
      </c>
      <c r="B239" t="s">
        <v>304</v>
      </c>
      <c r="C239" s="10">
        <v>0.2916666567325592</v>
      </c>
      <c r="D239" s="10">
        <v>0.2708333432674408</v>
      </c>
      <c r="E239" s="10">
        <v>0.5625</v>
      </c>
      <c r="F239">
        <v>506</v>
      </c>
    </row>
    <row r="240" spans="1:6" x14ac:dyDescent="0.25">
      <c r="A240">
        <v>239</v>
      </c>
      <c r="B240" t="s">
        <v>286</v>
      </c>
      <c r="C240" s="10">
        <v>0.2083333283662796</v>
      </c>
      <c r="D240" s="10">
        <v>0.2291666716337204</v>
      </c>
      <c r="E240" s="10">
        <v>0.4375</v>
      </c>
      <c r="F240">
        <v>507</v>
      </c>
    </row>
    <row r="241" spans="1:6" x14ac:dyDescent="0.25">
      <c r="A241">
        <v>240</v>
      </c>
      <c r="B241" t="s">
        <v>305</v>
      </c>
      <c r="C241" s="10">
        <v>0.125</v>
      </c>
      <c r="D241" s="10">
        <v>0.25</v>
      </c>
      <c r="E241" s="10">
        <v>0.375</v>
      </c>
      <c r="F241">
        <v>508</v>
      </c>
    </row>
    <row r="242" spans="1:6" x14ac:dyDescent="0.25">
      <c r="A242">
        <v>241</v>
      </c>
      <c r="B242" t="s">
        <v>306</v>
      </c>
      <c r="C242" s="10">
        <v>0.1875</v>
      </c>
      <c r="D242" s="10">
        <v>0.375</v>
      </c>
      <c r="E242" s="10">
        <v>0.5625</v>
      </c>
      <c r="F242">
        <v>509</v>
      </c>
    </row>
    <row r="243" spans="1:6" x14ac:dyDescent="0.25">
      <c r="A243">
        <v>242</v>
      </c>
      <c r="B243" t="s">
        <v>286</v>
      </c>
      <c r="C243" s="10">
        <v>0.1145833358168602</v>
      </c>
      <c r="D243" s="10">
        <v>0.2291666716337204</v>
      </c>
      <c r="E243" s="10">
        <v>0.34375</v>
      </c>
      <c r="F243">
        <v>510</v>
      </c>
    </row>
    <row r="244" spans="1:6" x14ac:dyDescent="0.25">
      <c r="A244">
        <v>243</v>
      </c>
      <c r="B244" t="s">
        <v>307</v>
      </c>
      <c r="C244" s="10">
        <v>6.25E-2</v>
      </c>
      <c r="D244" s="10">
        <v>0.375</v>
      </c>
      <c r="E244" s="10">
        <v>0.4375</v>
      </c>
      <c r="F244">
        <v>501</v>
      </c>
    </row>
    <row r="245" spans="1:6" x14ac:dyDescent="0.25">
      <c r="A245">
        <v>244</v>
      </c>
      <c r="B245" t="s">
        <v>287</v>
      </c>
      <c r="C245" s="10">
        <v>0.1041666641831398</v>
      </c>
      <c r="D245" s="10">
        <v>0.4375</v>
      </c>
      <c r="E245" s="10">
        <v>0.54166668653488159</v>
      </c>
      <c r="F245">
        <v>502</v>
      </c>
    </row>
    <row r="246" spans="1:6" x14ac:dyDescent="0.25">
      <c r="A246">
        <v>245</v>
      </c>
      <c r="B246" t="s">
        <v>308</v>
      </c>
      <c r="C246" s="10">
        <v>4.1666667908430099E-2</v>
      </c>
      <c r="D246" s="10">
        <v>0.1458333283662796</v>
      </c>
      <c r="E246" s="10">
        <v>0.1875</v>
      </c>
      <c r="F246">
        <v>503</v>
      </c>
    </row>
    <row r="247" spans="1:6" x14ac:dyDescent="0.25">
      <c r="A247">
        <v>246</v>
      </c>
      <c r="B247" t="s">
        <v>309</v>
      </c>
      <c r="C247" s="10">
        <v>0.1875</v>
      </c>
      <c r="D247" s="10">
        <v>0.4166666567325592</v>
      </c>
      <c r="E247" s="10">
        <v>0.60416668653488159</v>
      </c>
      <c r="F247">
        <v>504</v>
      </c>
    </row>
    <row r="248" spans="1:6" x14ac:dyDescent="0.25">
      <c r="A248">
        <v>247</v>
      </c>
      <c r="B248" t="s">
        <v>310</v>
      </c>
      <c r="C248" s="10">
        <v>0.1770833283662796</v>
      </c>
      <c r="D248" s="10">
        <v>0.4791666567325592</v>
      </c>
      <c r="E248" s="10">
        <v>0.65625</v>
      </c>
      <c r="F248">
        <v>505</v>
      </c>
    </row>
    <row r="249" spans="1:6" x14ac:dyDescent="0.25">
      <c r="A249">
        <v>248</v>
      </c>
      <c r="B249" t="s">
        <v>311</v>
      </c>
      <c r="C249" s="10">
        <v>7.2916664183139801E-2</v>
      </c>
      <c r="D249" s="10">
        <v>0.6875</v>
      </c>
      <c r="E249" s="10">
        <v>0.76041668653488159</v>
      </c>
      <c r="F249">
        <v>506</v>
      </c>
    </row>
    <row r="250" spans="1:6" x14ac:dyDescent="0.25">
      <c r="A250">
        <v>249</v>
      </c>
      <c r="B250" t="s">
        <v>312</v>
      </c>
      <c r="C250" s="10">
        <v>0.1041666641831398</v>
      </c>
      <c r="D250" s="10">
        <v>0.3333333432674408</v>
      </c>
      <c r="E250" s="10">
        <v>0.4375</v>
      </c>
      <c r="F250">
        <v>507</v>
      </c>
    </row>
    <row r="251" spans="1:6" x14ac:dyDescent="0.25">
      <c r="A251">
        <v>250</v>
      </c>
      <c r="B251" t="s">
        <v>313</v>
      </c>
      <c r="C251" s="10">
        <v>0.1770833283662796</v>
      </c>
      <c r="D251" s="10">
        <v>0.59375</v>
      </c>
      <c r="E251" s="10">
        <v>0.77083331346511841</v>
      </c>
      <c r="F251">
        <v>508</v>
      </c>
    </row>
    <row r="252" spans="1:6" x14ac:dyDescent="0.25">
      <c r="A252">
        <v>251</v>
      </c>
      <c r="B252" t="s">
        <v>312</v>
      </c>
      <c r="C252" s="10">
        <v>0.1145833358168602</v>
      </c>
      <c r="D252" s="10">
        <v>0.3125</v>
      </c>
      <c r="E252" s="10">
        <v>0.4270833432674408</v>
      </c>
      <c r="F252">
        <v>509</v>
      </c>
    </row>
    <row r="253" spans="1:6" x14ac:dyDescent="0.25">
      <c r="A253">
        <v>252</v>
      </c>
      <c r="B253" t="s">
        <v>314</v>
      </c>
      <c r="C253" s="10">
        <v>8.3333335816860199E-2</v>
      </c>
      <c r="D253" s="10">
        <v>0.4270833432674408</v>
      </c>
      <c r="E253" s="10">
        <v>0.51041668653488159</v>
      </c>
      <c r="F253">
        <v>510</v>
      </c>
    </row>
    <row r="254" spans="1:6" x14ac:dyDescent="0.25">
      <c r="A254">
        <v>253</v>
      </c>
      <c r="B254" t="s">
        <v>310</v>
      </c>
      <c r="C254" s="10">
        <v>0.1145833358168602</v>
      </c>
      <c r="D254" s="10">
        <v>0.54166668653488159</v>
      </c>
      <c r="E254" s="10">
        <v>0.65625</v>
      </c>
      <c r="F254">
        <v>501</v>
      </c>
    </row>
    <row r="255" spans="1:6" x14ac:dyDescent="0.25">
      <c r="A255">
        <v>254</v>
      </c>
      <c r="B255" t="s">
        <v>311</v>
      </c>
      <c r="C255" s="10">
        <v>0.15625</v>
      </c>
      <c r="D255" s="10">
        <v>0.58333331346511841</v>
      </c>
      <c r="E255" s="10">
        <v>0.73958331346511841</v>
      </c>
      <c r="F255">
        <v>502</v>
      </c>
    </row>
    <row r="256" spans="1:6" x14ac:dyDescent="0.25">
      <c r="A256">
        <v>255</v>
      </c>
      <c r="B256" t="s">
        <v>311</v>
      </c>
      <c r="C256" s="10">
        <v>7.2916664183139801E-2</v>
      </c>
      <c r="D256" s="10">
        <v>0.67708331346511841</v>
      </c>
      <c r="E256" s="10">
        <v>0.75</v>
      </c>
      <c r="F256">
        <v>503</v>
      </c>
    </row>
    <row r="257" spans="1:6" x14ac:dyDescent="0.25">
      <c r="A257">
        <v>256</v>
      </c>
      <c r="B257" t="s">
        <v>315</v>
      </c>
      <c r="C257" s="10">
        <v>0.2708333432674408</v>
      </c>
      <c r="D257" s="10">
        <v>0.46875</v>
      </c>
      <c r="E257" s="10">
        <v>0.73958331346511841</v>
      </c>
      <c r="F257">
        <v>504</v>
      </c>
    </row>
    <row r="258" spans="1:6" x14ac:dyDescent="0.25">
      <c r="A258">
        <v>257</v>
      </c>
      <c r="B258" t="s">
        <v>316</v>
      </c>
      <c r="C258" s="10">
        <v>0.2708333432674408</v>
      </c>
      <c r="D258" s="10">
        <v>0.2916666567325592</v>
      </c>
      <c r="E258" s="10">
        <v>0.5625</v>
      </c>
      <c r="F258">
        <v>505</v>
      </c>
    </row>
    <row r="259" spans="1:6" x14ac:dyDescent="0.25">
      <c r="A259">
        <v>258</v>
      </c>
      <c r="B259" t="s">
        <v>317</v>
      </c>
      <c r="C259" s="10">
        <v>4.1666667908430099E-2</v>
      </c>
      <c r="D259" s="10">
        <v>0.79166668653488159</v>
      </c>
      <c r="E259" s="10">
        <v>0.83333331346511841</v>
      </c>
      <c r="F259">
        <v>506</v>
      </c>
    </row>
    <row r="260" spans="1:6" x14ac:dyDescent="0.25">
      <c r="A260">
        <v>259</v>
      </c>
      <c r="B260" t="s">
        <v>303</v>
      </c>
      <c r="C260" s="10">
        <v>0.1666666716337204</v>
      </c>
      <c r="D260" s="10">
        <v>0.83333331346511841</v>
      </c>
      <c r="E260" s="10">
        <v>0</v>
      </c>
      <c r="F260">
        <v>507</v>
      </c>
    </row>
    <row r="261" spans="1:6" x14ac:dyDescent="0.25">
      <c r="A261">
        <v>260</v>
      </c>
      <c r="B261" t="s">
        <v>318</v>
      </c>
      <c r="C261" s="10">
        <v>0.1666666716337204</v>
      </c>
      <c r="D261" s="10">
        <v>0.25</v>
      </c>
      <c r="E261" s="10">
        <v>0.4166666567325592</v>
      </c>
      <c r="F261">
        <v>508</v>
      </c>
    </row>
    <row r="262" spans="1:6" x14ac:dyDescent="0.25">
      <c r="A262">
        <v>261</v>
      </c>
      <c r="B262" t="s">
        <v>319</v>
      </c>
      <c r="C262" s="10">
        <v>0.1875</v>
      </c>
      <c r="D262" s="10">
        <v>0.86458331346511841</v>
      </c>
      <c r="E262" s="10">
        <v>5.2083332091569901E-2</v>
      </c>
      <c r="F262">
        <v>509</v>
      </c>
    </row>
    <row r="263" spans="1:6" x14ac:dyDescent="0.25">
      <c r="A263">
        <v>262</v>
      </c>
      <c r="B263" t="s">
        <v>319</v>
      </c>
      <c r="C263" s="10">
        <v>0.1875</v>
      </c>
      <c r="D263" s="10">
        <v>0.875</v>
      </c>
      <c r="E263" s="10">
        <v>6.25E-2</v>
      </c>
      <c r="F263">
        <v>510</v>
      </c>
    </row>
    <row r="264" spans="1:6" x14ac:dyDescent="0.25">
      <c r="A264">
        <v>263</v>
      </c>
      <c r="B264" t="s">
        <v>320</v>
      </c>
      <c r="C264" s="10">
        <v>0.1666666716337204</v>
      </c>
      <c r="D264" s="10">
        <v>0.25</v>
      </c>
      <c r="E264" s="10">
        <v>0.4166666567325592</v>
      </c>
      <c r="F264">
        <v>501</v>
      </c>
    </row>
    <row r="265" spans="1:6" x14ac:dyDescent="0.25">
      <c r="A265">
        <v>264</v>
      </c>
      <c r="B265" t="s">
        <v>321</v>
      </c>
      <c r="C265" s="10">
        <v>0.2916666567325592</v>
      </c>
      <c r="D265" s="10">
        <v>0.625</v>
      </c>
      <c r="E265" s="10">
        <v>0.91666668653488159</v>
      </c>
      <c r="F265">
        <v>502</v>
      </c>
    </row>
    <row r="266" spans="1:6" x14ac:dyDescent="0.25">
      <c r="A266">
        <v>265</v>
      </c>
      <c r="B266" t="s">
        <v>322</v>
      </c>
      <c r="C266" s="10">
        <v>0.25</v>
      </c>
      <c r="D266" s="10">
        <v>0.3333333432674408</v>
      </c>
      <c r="E266" s="10">
        <v>0.58333331346511841</v>
      </c>
      <c r="F266">
        <v>503</v>
      </c>
    </row>
    <row r="267" spans="1:6" x14ac:dyDescent="0.25">
      <c r="A267">
        <v>266</v>
      </c>
      <c r="B267" t="s">
        <v>323</v>
      </c>
      <c r="C267" s="10">
        <v>0.1770833283662796</v>
      </c>
      <c r="D267" s="10">
        <v>0.4166666567325592</v>
      </c>
      <c r="E267" s="10">
        <v>0.59375</v>
      </c>
      <c r="F267">
        <v>504</v>
      </c>
    </row>
    <row r="268" spans="1:6" x14ac:dyDescent="0.25">
      <c r="A268">
        <v>267</v>
      </c>
      <c r="B268" t="s">
        <v>324</v>
      </c>
      <c r="C268" s="10">
        <v>0.1875</v>
      </c>
      <c r="D268" s="10">
        <v>0.40625</v>
      </c>
      <c r="E268" s="10">
        <v>0.59375</v>
      </c>
      <c r="F268">
        <v>505</v>
      </c>
    </row>
    <row r="269" spans="1:6" x14ac:dyDescent="0.25">
      <c r="A269">
        <v>268</v>
      </c>
      <c r="B269" t="s">
        <v>325</v>
      </c>
      <c r="C269" s="10">
        <v>0.2083333283662796</v>
      </c>
      <c r="D269" s="10">
        <v>0.61458331346511841</v>
      </c>
      <c r="E269" s="10">
        <v>0.82291668653488159</v>
      </c>
      <c r="F269">
        <v>506</v>
      </c>
    </row>
    <row r="270" spans="1:6" x14ac:dyDescent="0.25">
      <c r="A270">
        <v>269</v>
      </c>
      <c r="B270" t="s">
        <v>326</v>
      </c>
      <c r="C270" s="10">
        <v>0.3125</v>
      </c>
      <c r="D270" s="10">
        <v>0.76041668653488159</v>
      </c>
      <c r="E270" s="10">
        <v>7.2916664183139801E-2</v>
      </c>
      <c r="F270">
        <v>507</v>
      </c>
    </row>
    <row r="271" spans="1:6" x14ac:dyDescent="0.25">
      <c r="A271">
        <v>270</v>
      </c>
      <c r="B271" t="s">
        <v>327</v>
      </c>
      <c r="C271" s="10">
        <v>0.2291666716337204</v>
      </c>
      <c r="D271" s="10">
        <v>0.82291668653488159</v>
      </c>
      <c r="E271" s="10">
        <v>5.2083332091569901E-2</v>
      </c>
      <c r="F271">
        <v>508</v>
      </c>
    </row>
    <row r="272" spans="1:6" x14ac:dyDescent="0.25">
      <c r="A272">
        <v>271</v>
      </c>
      <c r="B272" t="s">
        <v>328</v>
      </c>
      <c r="C272" s="10">
        <v>8.3333335816860199E-2</v>
      </c>
      <c r="D272" s="10">
        <v>0.2395833283662796</v>
      </c>
      <c r="E272" s="10">
        <v>0.3229166567325592</v>
      </c>
      <c r="F272">
        <v>509</v>
      </c>
    </row>
    <row r="273" spans="1:6" x14ac:dyDescent="0.25">
      <c r="A273">
        <v>272</v>
      </c>
      <c r="B273" t="s">
        <v>329</v>
      </c>
      <c r="C273" s="10">
        <v>0.3125</v>
      </c>
      <c r="D273" s="10">
        <v>0.2916666567325592</v>
      </c>
      <c r="E273" s="10">
        <v>0.60416668653488159</v>
      </c>
      <c r="F273">
        <v>510</v>
      </c>
    </row>
    <row r="274" spans="1:6" x14ac:dyDescent="0.25">
      <c r="A274">
        <v>273</v>
      </c>
      <c r="B274" t="s">
        <v>330</v>
      </c>
      <c r="C274" s="10">
        <v>0.25</v>
      </c>
      <c r="D274" s="10">
        <v>0.375</v>
      </c>
      <c r="E274" s="10">
        <v>0.625</v>
      </c>
      <c r="F274">
        <v>501</v>
      </c>
    </row>
    <row r="275" spans="1:6" x14ac:dyDescent="0.25">
      <c r="A275">
        <v>274</v>
      </c>
      <c r="B275" t="s">
        <v>331</v>
      </c>
      <c r="C275" s="10">
        <v>0.1666666716337204</v>
      </c>
      <c r="D275" s="10">
        <v>0.25</v>
      </c>
      <c r="E275" s="10">
        <v>0.4166666567325592</v>
      </c>
      <c r="F275">
        <v>502</v>
      </c>
    </row>
    <row r="276" spans="1:6" x14ac:dyDescent="0.25">
      <c r="A276">
        <v>275</v>
      </c>
      <c r="B276" t="s">
        <v>227</v>
      </c>
      <c r="C276" s="10">
        <v>0.1458333283662796</v>
      </c>
      <c r="D276" s="10">
        <v>4.1666667908430099E-2</v>
      </c>
      <c r="E276" s="10">
        <v>0.1875</v>
      </c>
      <c r="F276">
        <v>503</v>
      </c>
    </row>
    <row r="277" spans="1:6" x14ac:dyDescent="0.25">
      <c r="A277">
        <v>276</v>
      </c>
      <c r="B277" t="s">
        <v>332</v>
      </c>
      <c r="C277" s="10">
        <v>0.125</v>
      </c>
      <c r="D277" s="10">
        <v>0.2083333283662796</v>
      </c>
      <c r="E277" s="10">
        <v>0.3333333432674408</v>
      </c>
      <c r="F277">
        <v>504</v>
      </c>
    </row>
    <row r="278" spans="1:6" x14ac:dyDescent="0.25">
      <c r="A278">
        <v>277</v>
      </c>
      <c r="B278" t="s">
        <v>333</v>
      </c>
      <c r="C278" s="10">
        <v>0.21875</v>
      </c>
      <c r="D278" s="10">
        <v>0.40625</v>
      </c>
      <c r="E278" s="10">
        <v>0.625</v>
      </c>
      <c r="F278">
        <v>505</v>
      </c>
    </row>
    <row r="279" spans="1:6" x14ac:dyDescent="0.25">
      <c r="A279">
        <v>278</v>
      </c>
      <c r="B279" t="s">
        <v>102</v>
      </c>
      <c r="C279" s="10">
        <v>0.1041666641831398</v>
      </c>
      <c r="D279" s="10">
        <v>0.6875</v>
      </c>
      <c r="E279" s="10">
        <v>0.79166668653488159</v>
      </c>
      <c r="F279">
        <v>506</v>
      </c>
    </row>
    <row r="280" spans="1:6" x14ac:dyDescent="0.25">
      <c r="A280">
        <v>279</v>
      </c>
      <c r="B280" t="s">
        <v>334</v>
      </c>
      <c r="C280" s="10">
        <v>4.1666667908430099E-2</v>
      </c>
      <c r="D280" s="10">
        <v>0.79166668653488159</v>
      </c>
      <c r="E280" s="10">
        <v>0.83333331346511841</v>
      </c>
      <c r="F280">
        <v>507</v>
      </c>
    </row>
    <row r="281" spans="1:6" x14ac:dyDescent="0.25">
      <c r="A281">
        <v>280</v>
      </c>
      <c r="B281" t="s">
        <v>335</v>
      </c>
      <c r="C281" s="10">
        <v>0.2291666716337204</v>
      </c>
      <c r="D281" s="10">
        <v>0.60416668653488159</v>
      </c>
      <c r="E281" s="10">
        <v>0.83333331346511841</v>
      </c>
      <c r="F281">
        <v>508</v>
      </c>
    </row>
    <row r="282" spans="1:6" x14ac:dyDescent="0.25">
      <c r="A282">
        <v>281</v>
      </c>
      <c r="B282" t="s">
        <v>336</v>
      </c>
      <c r="C282" s="10">
        <v>0.2291666716337204</v>
      </c>
      <c r="D282" s="10">
        <v>0.2291666716337204</v>
      </c>
      <c r="E282" s="10">
        <v>0.4583333432674408</v>
      </c>
      <c r="F282">
        <v>509</v>
      </c>
    </row>
    <row r="283" spans="1:6" x14ac:dyDescent="0.25">
      <c r="A283">
        <v>282</v>
      </c>
      <c r="B283" t="s">
        <v>337</v>
      </c>
      <c r="C283" s="10">
        <v>0.15625</v>
      </c>
      <c r="D283" s="10">
        <v>0.3645833432674408</v>
      </c>
      <c r="E283" s="10">
        <v>0.52083331346511841</v>
      </c>
      <c r="F283">
        <v>510</v>
      </c>
    </row>
    <row r="284" spans="1:6" x14ac:dyDescent="0.25">
      <c r="A284">
        <v>283</v>
      </c>
      <c r="B284" t="s">
        <v>338</v>
      </c>
      <c r="C284" s="10">
        <v>6.25E-2</v>
      </c>
      <c r="D284" s="10">
        <v>0.72916668653488159</v>
      </c>
      <c r="E284" s="10">
        <v>0.79166668653488159</v>
      </c>
      <c r="F284">
        <v>501</v>
      </c>
    </row>
    <row r="285" spans="1:6" x14ac:dyDescent="0.25">
      <c r="A285">
        <v>284</v>
      </c>
      <c r="B285" t="s">
        <v>339</v>
      </c>
      <c r="C285" s="10">
        <v>0.4166666567325592</v>
      </c>
      <c r="D285" s="10">
        <v>0.91666668653488159</v>
      </c>
      <c r="E285" s="10">
        <v>0.3333333432674408</v>
      </c>
      <c r="F285">
        <v>502</v>
      </c>
    </row>
    <row r="286" spans="1:6" x14ac:dyDescent="0.25">
      <c r="A286">
        <v>285</v>
      </c>
      <c r="B286" t="s">
        <v>340</v>
      </c>
      <c r="C286" s="10">
        <v>0.4166666567325592</v>
      </c>
      <c r="D286" s="10">
        <v>0.3333333432674408</v>
      </c>
      <c r="E286" s="10">
        <v>0.75</v>
      </c>
      <c r="F286">
        <v>503</v>
      </c>
    </row>
    <row r="287" spans="1:6" x14ac:dyDescent="0.25">
      <c r="A287">
        <v>286</v>
      </c>
      <c r="B287" t="s">
        <v>341</v>
      </c>
      <c r="C287" s="10">
        <v>0.1875</v>
      </c>
      <c r="D287" s="10">
        <v>0.53125</v>
      </c>
      <c r="E287" s="10">
        <v>0.71875</v>
      </c>
      <c r="F287">
        <v>504</v>
      </c>
    </row>
    <row r="288" spans="1:6" x14ac:dyDescent="0.25">
      <c r="A288">
        <v>287</v>
      </c>
      <c r="B288" t="s">
        <v>333</v>
      </c>
      <c r="C288" s="10">
        <v>0.2291666716337204</v>
      </c>
      <c r="D288" s="10">
        <v>0.40625</v>
      </c>
      <c r="E288" s="10">
        <v>0.63541668653488159</v>
      </c>
      <c r="F288">
        <v>505</v>
      </c>
    </row>
    <row r="289" spans="1:6" x14ac:dyDescent="0.25">
      <c r="A289">
        <v>288</v>
      </c>
      <c r="B289" t="s">
        <v>102</v>
      </c>
      <c r="C289" s="10">
        <v>0.1041666641831398</v>
      </c>
      <c r="D289" s="10">
        <v>0.6875</v>
      </c>
      <c r="E289" s="10">
        <v>0.79166668653488159</v>
      </c>
      <c r="F289">
        <v>506</v>
      </c>
    </row>
    <row r="290" spans="1:6" x14ac:dyDescent="0.25">
      <c r="A290">
        <v>289</v>
      </c>
      <c r="B290" t="s">
        <v>333</v>
      </c>
      <c r="C290" s="10">
        <v>0.1770833283662796</v>
      </c>
      <c r="D290" s="10">
        <v>0.40625</v>
      </c>
      <c r="E290" s="10">
        <v>0.58333331346511841</v>
      </c>
      <c r="F290">
        <v>507</v>
      </c>
    </row>
    <row r="291" spans="1:6" x14ac:dyDescent="0.25">
      <c r="A291">
        <v>290</v>
      </c>
      <c r="B291" t="s">
        <v>342</v>
      </c>
      <c r="C291" s="10">
        <v>0.125</v>
      </c>
      <c r="D291" s="10">
        <v>0.60416668653488159</v>
      </c>
      <c r="E291" s="10">
        <v>0.72916668653488159</v>
      </c>
      <c r="F291">
        <v>508</v>
      </c>
    </row>
    <row r="292" spans="1:6" x14ac:dyDescent="0.25">
      <c r="A292">
        <v>291</v>
      </c>
      <c r="B292" t="s">
        <v>343</v>
      </c>
      <c r="C292" s="10">
        <v>0.1041666641831398</v>
      </c>
      <c r="D292" s="10">
        <v>0.5625</v>
      </c>
      <c r="E292" s="10">
        <v>0.66666668653488159</v>
      </c>
      <c r="F292">
        <v>509</v>
      </c>
    </row>
    <row r="293" spans="1:6" x14ac:dyDescent="0.25">
      <c r="A293">
        <v>292</v>
      </c>
      <c r="B293" t="s">
        <v>114</v>
      </c>
      <c r="C293" s="10">
        <v>4.1666667908430099E-2</v>
      </c>
      <c r="D293" s="10">
        <v>0.58333331346511841</v>
      </c>
      <c r="E293" s="10">
        <v>0.625</v>
      </c>
      <c r="F293">
        <v>510</v>
      </c>
    </row>
    <row r="294" spans="1:6" x14ac:dyDescent="0.25">
      <c r="A294">
        <v>293</v>
      </c>
      <c r="B294" t="s">
        <v>344</v>
      </c>
      <c r="C294" s="10">
        <v>0.2916666567325592</v>
      </c>
      <c r="D294" s="10">
        <v>0.52083331346511841</v>
      </c>
      <c r="E294" s="10">
        <v>0.8125</v>
      </c>
      <c r="F294">
        <v>501</v>
      </c>
    </row>
    <row r="295" spans="1:6" x14ac:dyDescent="0.25">
      <c r="A295">
        <v>294</v>
      </c>
      <c r="B295" t="s">
        <v>345</v>
      </c>
      <c r="C295" s="10">
        <v>0.2291666716337204</v>
      </c>
      <c r="D295" s="10">
        <v>0.2708333432674408</v>
      </c>
      <c r="E295" s="10">
        <v>0.5</v>
      </c>
      <c r="F295">
        <v>502</v>
      </c>
    </row>
    <row r="296" spans="1:6" x14ac:dyDescent="0.25">
      <c r="A296">
        <v>295</v>
      </c>
      <c r="B296" t="s">
        <v>346</v>
      </c>
      <c r="C296" s="10">
        <v>0.1458333283662796</v>
      </c>
      <c r="D296" s="10">
        <v>0.54166668653488159</v>
      </c>
      <c r="E296" s="10">
        <v>0.6875</v>
      </c>
      <c r="F296">
        <v>503</v>
      </c>
    </row>
    <row r="297" spans="1:6" x14ac:dyDescent="0.25">
      <c r="A297">
        <v>296</v>
      </c>
      <c r="B297" t="s">
        <v>347</v>
      </c>
      <c r="C297" s="10">
        <v>0.2291666716337204</v>
      </c>
      <c r="D297" s="10">
        <v>0.2708333432674408</v>
      </c>
      <c r="E297" s="10">
        <v>0.5</v>
      </c>
      <c r="F297">
        <v>504</v>
      </c>
    </row>
    <row r="298" spans="1:6" x14ac:dyDescent="0.25">
      <c r="A298">
        <v>297</v>
      </c>
      <c r="B298" t="s">
        <v>348</v>
      </c>
      <c r="C298" s="10">
        <v>0.1458333283662796</v>
      </c>
      <c r="D298" s="10">
        <v>0.54166668653488159</v>
      </c>
      <c r="E298" s="10">
        <v>0.6875</v>
      </c>
      <c r="F298">
        <v>505</v>
      </c>
    </row>
    <row r="299" spans="1:6" x14ac:dyDescent="0.25">
      <c r="A299">
        <v>298</v>
      </c>
      <c r="B299" t="s">
        <v>349</v>
      </c>
      <c r="C299" s="10">
        <v>0.3020833432674408</v>
      </c>
      <c r="D299" s="10">
        <v>0.79166668653488159</v>
      </c>
      <c r="E299" s="10">
        <v>9.375E-2</v>
      </c>
      <c r="F299">
        <v>506</v>
      </c>
    </row>
    <row r="300" spans="1:6" x14ac:dyDescent="0.25">
      <c r="A300">
        <v>299</v>
      </c>
      <c r="B300" t="s">
        <v>350</v>
      </c>
      <c r="C300" s="10">
        <v>0.2395833283662796</v>
      </c>
      <c r="D300" s="10">
        <v>0.65625</v>
      </c>
      <c r="E300" s="10">
        <v>0.89583331346511841</v>
      </c>
      <c r="F300">
        <v>507</v>
      </c>
    </row>
    <row r="301" spans="1:6" x14ac:dyDescent="0.25">
      <c r="A301">
        <v>300</v>
      </c>
      <c r="B301" t="s">
        <v>351</v>
      </c>
      <c r="C301" s="10">
        <v>0.1875</v>
      </c>
      <c r="D301" s="10">
        <v>0.90625</v>
      </c>
      <c r="E301" s="10">
        <v>9.375E-2</v>
      </c>
      <c r="F301">
        <v>508</v>
      </c>
    </row>
    <row r="302" spans="1:6" x14ac:dyDescent="0.25">
      <c r="A302">
        <v>301</v>
      </c>
      <c r="B302" t="s">
        <v>352</v>
      </c>
      <c r="C302" s="10">
        <v>0.1458333283662796</v>
      </c>
      <c r="D302" s="10">
        <v>0.70833331346511841</v>
      </c>
      <c r="E302" s="10">
        <v>0.85416668653488159</v>
      </c>
      <c r="F302">
        <v>509</v>
      </c>
    </row>
    <row r="303" spans="1:6" x14ac:dyDescent="0.25">
      <c r="A303">
        <v>302</v>
      </c>
      <c r="B303" t="s">
        <v>353</v>
      </c>
      <c r="C303" s="10">
        <v>0.2291666716337204</v>
      </c>
      <c r="D303" s="10">
        <v>0.875</v>
      </c>
      <c r="E303" s="10">
        <v>0.1041666641831398</v>
      </c>
      <c r="F303">
        <v>510</v>
      </c>
    </row>
    <row r="304" spans="1:6" x14ac:dyDescent="0.25">
      <c r="A304">
        <v>303</v>
      </c>
      <c r="B304" t="s">
        <v>114</v>
      </c>
      <c r="C304" s="10">
        <v>4.1666667908430099E-2</v>
      </c>
      <c r="D304" s="10">
        <v>0.25</v>
      </c>
      <c r="E304" s="10">
        <v>0.2916666567325592</v>
      </c>
      <c r="F304">
        <v>501</v>
      </c>
    </row>
    <row r="305" spans="1:6" x14ac:dyDescent="0.25">
      <c r="A305">
        <v>304</v>
      </c>
      <c r="B305" t="s">
        <v>354</v>
      </c>
      <c r="C305" s="10">
        <v>6.25E-2</v>
      </c>
      <c r="D305" s="10">
        <v>0.2291666716337204</v>
      </c>
      <c r="E305" s="10">
        <v>0.2916666567325592</v>
      </c>
      <c r="F305">
        <v>502</v>
      </c>
    </row>
    <row r="306" spans="1:6" x14ac:dyDescent="0.25">
      <c r="A306">
        <v>305</v>
      </c>
      <c r="B306" t="s">
        <v>199</v>
      </c>
      <c r="C306" s="10">
        <v>6.25E-2</v>
      </c>
      <c r="D306" s="10">
        <v>0.2291666716337204</v>
      </c>
      <c r="E306" s="10">
        <v>0.2916666567325592</v>
      </c>
      <c r="F306">
        <v>503</v>
      </c>
    </row>
    <row r="307" spans="1:6" x14ac:dyDescent="0.25">
      <c r="A307">
        <v>306</v>
      </c>
      <c r="B307" t="s">
        <v>199</v>
      </c>
      <c r="C307" s="10">
        <v>4.1666667908430099E-2</v>
      </c>
      <c r="D307" s="10">
        <v>0.25</v>
      </c>
      <c r="E307" s="10">
        <v>0.2916666567325592</v>
      </c>
      <c r="F307">
        <v>504</v>
      </c>
    </row>
    <row r="308" spans="1:6" x14ac:dyDescent="0.25">
      <c r="A308">
        <v>307</v>
      </c>
      <c r="B308" t="s">
        <v>337</v>
      </c>
      <c r="C308" s="10">
        <v>0.1666666716337204</v>
      </c>
      <c r="D308" s="10">
        <v>0.3958333432674408</v>
      </c>
      <c r="E308" s="10">
        <v>0.5625</v>
      </c>
      <c r="F308">
        <v>505</v>
      </c>
    </row>
    <row r="309" spans="1:6" x14ac:dyDescent="0.25">
      <c r="A309">
        <v>308</v>
      </c>
      <c r="B309" t="s">
        <v>355</v>
      </c>
      <c r="C309" s="10">
        <v>0.2083333283662796</v>
      </c>
      <c r="D309" s="10">
        <v>0.2916666567325592</v>
      </c>
      <c r="E309" s="10">
        <v>0.5</v>
      </c>
      <c r="F309">
        <v>506</v>
      </c>
    </row>
    <row r="310" spans="1:6" x14ac:dyDescent="0.25">
      <c r="A310">
        <v>309</v>
      </c>
      <c r="B310" t="s">
        <v>356</v>
      </c>
      <c r="C310" s="10">
        <v>9.375E-2</v>
      </c>
      <c r="D310" s="10">
        <v>0.66666668653488159</v>
      </c>
      <c r="E310" s="10">
        <v>0.76041668653488159</v>
      </c>
      <c r="F310">
        <v>507</v>
      </c>
    </row>
    <row r="311" spans="1:6" x14ac:dyDescent="0.25">
      <c r="A311">
        <v>310</v>
      </c>
      <c r="B311" t="s">
        <v>356</v>
      </c>
      <c r="C311" s="10">
        <v>6.25E-2</v>
      </c>
      <c r="D311" s="10">
        <v>0.66666668653488159</v>
      </c>
      <c r="E311" s="10">
        <v>0.72916668653488159</v>
      </c>
      <c r="F311">
        <v>508</v>
      </c>
    </row>
    <row r="312" spans="1:6" x14ac:dyDescent="0.25">
      <c r="A312">
        <v>311</v>
      </c>
      <c r="B312" t="s">
        <v>357</v>
      </c>
      <c r="C312" s="10">
        <v>0.1041666641831398</v>
      </c>
      <c r="D312" s="10">
        <v>0.3541666567325592</v>
      </c>
      <c r="E312" s="10">
        <v>0.4583333432674408</v>
      </c>
      <c r="F312">
        <v>509</v>
      </c>
    </row>
    <row r="313" spans="1:6" x14ac:dyDescent="0.25">
      <c r="A313">
        <v>312</v>
      </c>
      <c r="B313" t="s">
        <v>358</v>
      </c>
      <c r="C313" s="10">
        <v>0.1666666716337204</v>
      </c>
      <c r="D313" s="10">
        <v>0.65625</v>
      </c>
      <c r="E313" s="10">
        <v>0.82291668653488159</v>
      </c>
      <c r="F313">
        <v>510</v>
      </c>
    </row>
    <row r="314" spans="1:6" x14ac:dyDescent="0.25">
      <c r="A314">
        <v>313</v>
      </c>
      <c r="B314" t="s">
        <v>359</v>
      </c>
      <c r="C314" s="10">
        <v>0.125</v>
      </c>
      <c r="D314" s="10">
        <v>0.84375</v>
      </c>
      <c r="E314" s="10">
        <v>0.96875</v>
      </c>
      <c r="F314">
        <v>501</v>
      </c>
    </row>
    <row r="315" spans="1:6" x14ac:dyDescent="0.25">
      <c r="A315">
        <v>314</v>
      </c>
      <c r="B315" t="s">
        <v>360</v>
      </c>
      <c r="C315" s="10">
        <v>0.1875</v>
      </c>
      <c r="D315" s="10">
        <v>0.4479166567325592</v>
      </c>
      <c r="E315" s="10">
        <v>0.63541668653488159</v>
      </c>
      <c r="F315">
        <v>502</v>
      </c>
    </row>
    <row r="316" spans="1:6" x14ac:dyDescent="0.25">
      <c r="A316">
        <v>315</v>
      </c>
      <c r="B316" t="s">
        <v>361</v>
      </c>
      <c r="C316" s="10">
        <v>0.1979166716337204</v>
      </c>
      <c r="D316" s="10">
        <v>0.77083331346511841</v>
      </c>
      <c r="E316" s="10">
        <v>0.96875</v>
      </c>
      <c r="F316">
        <v>503</v>
      </c>
    </row>
    <row r="317" spans="1:6" x14ac:dyDescent="0.25">
      <c r="A317">
        <v>316</v>
      </c>
      <c r="B317" t="s">
        <v>362</v>
      </c>
      <c r="C317" s="10">
        <v>0.2083333283662796</v>
      </c>
      <c r="D317" s="10">
        <v>0.4375</v>
      </c>
      <c r="E317" s="10">
        <v>0.64583331346511841</v>
      </c>
      <c r="F317">
        <v>504</v>
      </c>
    </row>
    <row r="318" spans="1:6" x14ac:dyDescent="0.25">
      <c r="A318">
        <v>317</v>
      </c>
      <c r="B318" t="s">
        <v>363</v>
      </c>
      <c r="C318" s="10">
        <v>0.1354166716337204</v>
      </c>
      <c r="D318" s="10">
        <v>0.82291668653488159</v>
      </c>
      <c r="E318" s="10">
        <v>0.95833331346511841</v>
      </c>
      <c r="F318">
        <v>505</v>
      </c>
    </row>
    <row r="319" spans="1:6" x14ac:dyDescent="0.25">
      <c r="A319">
        <v>318</v>
      </c>
      <c r="B319" t="s">
        <v>170</v>
      </c>
      <c r="C319" s="10">
        <v>0.25</v>
      </c>
      <c r="D319" s="10">
        <v>0.3541666567325592</v>
      </c>
      <c r="E319" s="10">
        <v>0.60416668653488159</v>
      </c>
      <c r="F319">
        <v>506</v>
      </c>
    </row>
    <row r="320" spans="1:6" x14ac:dyDescent="0.25">
      <c r="A320">
        <v>319</v>
      </c>
      <c r="B320" t="s">
        <v>364</v>
      </c>
      <c r="C320" s="10">
        <v>0.2083333283662796</v>
      </c>
      <c r="D320" s="10">
        <v>0.625</v>
      </c>
      <c r="E320" s="10">
        <v>0.83333331346511841</v>
      </c>
      <c r="F320">
        <v>507</v>
      </c>
    </row>
    <row r="321" spans="1:6" x14ac:dyDescent="0.25">
      <c r="A321">
        <v>320</v>
      </c>
      <c r="B321" t="s">
        <v>365</v>
      </c>
      <c r="C321" s="10">
        <v>0.2916666567325592</v>
      </c>
      <c r="D321" s="10">
        <v>0.3541666567325592</v>
      </c>
      <c r="E321" s="10">
        <v>0.64583331346511841</v>
      </c>
      <c r="F321">
        <v>508</v>
      </c>
    </row>
    <row r="322" spans="1:6" x14ac:dyDescent="0.25">
      <c r="A322">
        <v>321</v>
      </c>
      <c r="B322" t="s">
        <v>365</v>
      </c>
      <c r="C322" s="10">
        <v>0.2291666716337204</v>
      </c>
      <c r="D322" s="10">
        <v>0.3958333432674408</v>
      </c>
      <c r="E322" s="10">
        <v>0.625</v>
      </c>
      <c r="F322">
        <v>509</v>
      </c>
    </row>
    <row r="323" spans="1:6" x14ac:dyDescent="0.25">
      <c r="A323">
        <v>322</v>
      </c>
      <c r="B323" t="s">
        <v>366</v>
      </c>
      <c r="C323" s="10">
        <v>0.1770833283662796</v>
      </c>
      <c r="D323" s="10">
        <v>0.5</v>
      </c>
      <c r="E323" s="10">
        <v>0.67708331346511841</v>
      </c>
      <c r="F323">
        <v>510</v>
      </c>
    </row>
    <row r="324" spans="1:6" x14ac:dyDescent="0.25">
      <c r="A324">
        <v>323</v>
      </c>
      <c r="B324" t="s">
        <v>367</v>
      </c>
      <c r="C324" s="10">
        <v>0.25</v>
      </c>
      <c r="D324" s="10">
        <v>0.2916666567325592</v>
      </c>
      <c r="E324" s="10">
        <v>0.54166668653488159</v>
      </c>
      <c r="F324">
        <v>501</v>
      </c>
    </row>
    <row r="325" spans="1:6" x14ac:dyDescent="0.25">
      <c r="A325">
        <v>324</v>
      </c>
      <c r="B325" t="s">
        <v>368</v>
      </c>
      <c r="C325" s="10">
        <v>0.2395833283662796</v>
      </c>
      <c r="D325" s="10">
        <v>0.3020833432674408</v>
      </c>
      <c r="E325" s="10">
        <v>0.54166668653488159</v>
      </c>
      <c r="F325">
        <v>502</v>
      </c>
    </row>
    <row r="326" spans="1:6" x14ac:dyDescent="0.25">
      <c r="A326">
        <v>325</v>
      </c>
      <c r="B326" t="s">
        <v>369</v>
      </c>
      <c r="C326" s="10">
        <v>0.2083333283662796</v>
      </c>
      <c r="D326" s="10">
        <v>0.25</v>
      </c>
      <c r="E326" s="10">
        <v>0.4583333432674408</v>
      </c>
      <c r="F326">
        <v>503</v>
      </c>
    </row>
    <row r="327" spans="1:6" x14ac:dyDescent="0.25">
      <c r="A327">
        <v>326</v>
      </c>
      <c r="B327" t="s">
        <v>114</v>
      </c>
      <c r="C327" s="10">
        <v>5.2083332091569901E-2</v>
      </c>
      <c r="D327" s="10">
        <v>0.2604166567325592</v>
      </c>
      <c r="E327" s="10">
        <v>0.3125</v>
      </c>
      <c r="F327">
        <v>504</v>
      </c>
    </row>
    <row r="328" spans="1:6" x14ac:dyDescent="0.25">
      <c r="A328">
        <v>327</v>
      </c>
      <c r="B328" t="s">
        <v>370</v>
      </c>
      <c r="C328" s="10">
        <v>8.3333335816860199E-2</v>
      </c>
      <c r="D328" s="10">
        <v>0.4791666567325592</v>
      </c>
      <c r="E328" s="10">
        <v>0.5625</v>
      </c>
      <c r="F328">
        <v>505</v>
      </c>
    </row>
    <row r="329" spans="1:6" x14ac:dyDescent="0.25">
      <c r="A329">
        <v>328</v>
      </c>
      <c r="B329" t="s">
        <v>371</v>
      </c>
      <c r="C329" s="10">
        <v>0.2708333432674408</v>
      </c>
      <c r="D329" s="10">
        <v>0.2916666567325592</v>
      </c>
      <c r="E329" s="10">
        <v>0.5625</v>
      </c>
      <c r="F329">
        <v>506</v>
      </c>
    </row>
    <row r="330" spans="1:6" x14ac:dyDescent="0.25">
      <c r="A330">
        <v>329</v>
      </c>
      <c r="B330" t="s">
        <v>372</v>
      </c>
      <c r="C330" s="10">
        <v>0.25</v>
      </c>
      <c r="D330" s="10">
        <v>0.3645833432674408</v>
      </c>
      <c r="E330" s="10">
        <v>0.61458331346511841</v>
      </c>
      <c r="F330">
        <v>507</v>
      </c>
    </row>
    <row r="331" spans="1:6" x14ac:dyDescent="0.25">
      <c r="A331">
        <v>330</v>
      </c>
      <c r="B331" t="s">
        <v>373</v>
      </c>
      <c r="C331" s="10">
        <v>0.1354166716337204</v>
      </c>
      <c r="D331" s="10">
        <v>0.3958333432674408</v>
      </c>
      <c r="E331" s="10">
        <v>0.53125</v>
      </c>
      <c r="F331">
        <v>508</v>
      </c>
    </row>
    <row r="332" spans="1:6" x14ac:dyDescent="0.25">
      <c r="A332">
        <v>331</v>
      </c>
      <c r="B332" t="s">
        <v>374</v>
      </c>
      <c r="C332" s="10">
        <v>0.1458333283662796</v>
      </c>
      <c r="D332" s="10">
        <v>0.54166668653488159</v>
      </c>
      <c r="E332" s="10">
        <v>0.6875</v>
      </c>
      <c r="F332">
        <v>509</v>
      </c>
    </row>
    <row r="333" spans="1:6" x14ac:dyDescent="0.25">
      <c r="A333">
        <v>332</v>
      </c>
      <c r="B333" t="s">
        <v>375</v>
      </c>
      <c r="C333" s="10">
        <v>0.1145833358168602</v>
      </c>
      <c r="D333" s="10">
        <v>0.69791668653488159</v>
      </c>
      <c r="E333" s="10">
        <v>0.8125</v>
      </c>
      <c r="F333">
        <v>510</v>
      </c>
    </row>
    <row r="334" spans="1:6" x14ac:dyDescent="0.25">
      <c r="A334">
        <v>333</v>
      </c>
      <c r="B334" t="s">
        <v>376</v>
      </c>
      <c r="C334" s="10">
        <v>0.1666666716337204</v>
      </c>
      <c r="D334" s="10">
        <v>3.125E-2</v>
      </c>
      <c r="E334" s="10">
        <v>0.1979166716337204</v>
      </c>
      <c r="F334">
        <v>501</v>
      </c>
    </row>
    <row r="335" spans="1:6" x14ac:dyDescent="0.25">
      <c r="A335">
        <v>334</v>
      </c>
      <c r="B335" t="s">
        <v>377</v>
      </c>
      <c r="C335" s="10">
        <v>0.1041666641831398</v>
      </c>
      <c r="D335" s="10">
        <v>0.67708331346511841</v>
      </c>
      <c r="E335" s="10">
        <v>0.78125</v>
      </c>
      <c r="F335">
        <v>502</v>
      </c>
    </row>
    <row r="336" spans="1:6" x14ac:dyDescent="0.25">
      <c r="A336">
        <v>335</v>
      </c>
      <c r="B336" t="s">
        <v>378</v>
      </c>
      <c r="C336" s="10">
        <v>0.25</v>
      </c>
      <c r="D336" s="10">
        <v>0.25</v>
      </c>
      <c r="E336" s="10">
        <v>0.5</v>
      </c>
      <c r="F336">
        <v>503</v>
      </c>
    </row>
    <row r="337" spans="1:6" x14ac:dyDescent="0.25">
      <c r="A337">
        <v>336</v>
      </c>
      <c r="B337" t="s">
        <v>379</v>
      </c>
      <c r="C337" s="10">
        <v>0.1666666716337204</v>
      </c>
      <c r="D337" s="10">
        <v>0.3333333432674408</v>
      </c>
      <c r="E337" s="10">
        <v>0.5</v>
      </c>
      <c r="F337">
        <v>504</v>
      </c>
    </row>
    <row r="338" spans="1:6" x14ac:dyDescent="0.25">
      <c r="A338">
        <v>337</v>
      </c>
      <c r="B338" t="s">
        <v>380</v>
      </c>
      <c r="C338" s="10">
        <v>0.2083333283662796</v>
      </c>
      <c r="D338" s="10">
        <v>0.2916666567325592</v>
      </c>
      <c r="E338" s="10">
        <v>0.5</v>
      </c>
      <c r="F338">
        <v>505</v>
      </c>
    </row>
    <row r="339" spans="1:6" x14ac:dyDescent="0.25">
      <c r="A339">
        <v>338</v>
      </c>
      <c r="B339" t="s">
        <v>381</v>
      </c>
      <c r="C339" s="10">
        <v>9.375E-2</v>
      </c>
      <c r="D339" s="10">
        <v>0.57291668653488159</v>
      </c>
      <c r="E339" s="10">
        <v>0.66666668653488159</v>
      </c>
      <c r="F339">
        <v>506</v>
      </c>
    </row>
    <row r="340" spans="1:6" x14ac:dyDescent="0.25">
      <c r="A340">
        <v>339</v>
      </c>
      <c r="B340" t="s">
        <v>382</v>
      </c>
      <c r="C340" s="10">
        <v>4.1666667908430099E-2</v>
      </c>
      <c r="D340" s="10">
        <v>0.57291668653488159</v>
      </c>
      <c r="E340" s="10">
        <v>0.61458331346511841</v>
      </c>
      <c r="F340">
        <v>507</v>
      </c>
    </row>
    <row r="341" spans="1:6" x14ac:dyDescent="0.25">
      <c r="A341">
        <v>340</v>
      </c>
      <c r="B341" t="s">
        <v>383</v>
      </c>
      <c r="C341" s="10">
        <v>0.1875</v>
      </c>
      <c r="D341" s="10">
        <v>0.63541668653488159</v>
      </c>
      <c r="E341" s="10">
        <v>0.82291668653488159</v>
      </c>
      <c r="F341">
        <v>508</v>
      </c>
    </row>
    <row r="342" spans="1:6" x14ac:dyDescent="0.25">
      <c r="A342">
        <v>341</v>
      </c>
      <c r="B342" t="s">
        <v>384</v>
      </c>
      <c r="C342" s="10">
        <v>6.25E-2</v>
      </c>
      <c r="D342" s="10">
        <v>0.66666668653488159</v>
      </c>
      <c r="E342" s="10">
        <v>0.72916668653488159</v>
      </c>
      <c r="F342">
        <v>509</v>
      </c>
    </row>
    <row r="343" spans="1:6" x14ac:dyDescent="0.25">
      <c r="A343">
        <v>342</v>
      </c>
      <c r="B343" t="s">
        <v>385</v>
      </c>
      <c r="C343" s="10">
        <v>5.2083332091569901E-2</v>
      </c>
      <c r="D343" s="10">
        <v>5.2083332091569901E-2</v>
      </c>
      <c r="E343" s="10">
        <v>0.1041666641831398</v>
      </c>
      <c r="F343">
        <v>510</v>
      </c>
    </row>
    <row r="344" spans="1:6" x14ac:dyDescent="0.25">
      <c r="A344">
        <v>343</v>
      </c>
      <c r="B344" t="s">
        <v>386</v>
      </c>
      <c r="C344" s="10">
        <v>0.1666666716337204</v>
      </c>
      <c r="D344" s="10">
        <v>0.4166666567325592</v>
      </c>
      <c r="E344" s="10">
        <v>0.58333331346511841</v>
      </c>
      <c r="F344">
        <v>501</v>
      </c>
    </row>
    <row r="345" spans="1:6" x14ac:dyDescent="0.25">
      <c r="A345">
        <v>345</v>
      </c>
      <c r="B345" t="s">
        <v>387</v>
      </c>
      <c r="C345" s="10">
        <v>0.125</v>
      </c>
      <c r="D345" s="10">
        <v>0.91666668653488159</v>
      </c>
      <c r="E345" s="10">
        <v>4.1666667908430099E-2</v>
      </c>
      <c r="F345">
        <v>502</v>
      </c>
    </row>
    <row r="346" spans="1:6" x14ac:dyDescent="0.25">
      <c r="A346">
        <v>346</v>
      </c>
      <c r="B346" t="s">
        <v>388</v>
      </c>
      <c r="C346" s="10">
        <v>0.25</v>
      </c>
      <c r="D346" s="10">
        <v>0.25</v>
      </c>
      <c r="E346" s="10">
        <v>0.5</v>
      </c>
      <c r="F346">
        <v>503</v>
      </c>
    </row>
    <row r="347" spans="1:6" x14ac:dyDescent="0.25">
      <c r="A347">
        <v>347</v>
      </c>
      <c r="B347" t="s">
        <v>388</v>
      </c>
      <c r="C347" s="10">
        <v>0.125</v>
      </c>
      <c r="D347" s="10">
        <v>0.3125</v>
      </c>
      <c r="E347" s="10">
        <v>0.4375</v>
      </c>
      <c r="F347">
        <v>504</v>
      </c>
    </row>
    <row r="348" spans="1:6" x14ac:dyDescent="0.25">
      <c r="A348">
        <v>348</v>
      </c>
      <c r="B348" t="s">
        <v>371</v>
      </c>
      <c r="C348" s="10">
        <v>0.25</v>
      </c>
      <c r="D348" s="10">
        <v>0.3020833432674408</v>
      </c>
      <c r="E348" s="10">
        <v>0.55208331346511841</v>
      </c>
      <c r="F348">
        <v>505</v>
      </c>
    </row>
    <row r="349" spans="1:6" x14ac:dyDescent="0.25">
      <c r="A349">
        <v>349</v>
      </c>
      <c r="B349" t="s">
        <v>389</v>
      </c>
      <c r="C349" s="10">
        <v>4.1666667908430099E-2</v>
      </c>
      <c r="D349" s="10">
        <v>0.2604166567325592</v>
      </c>
      <c r="E349" s="10">
        <v>0.3020833432674408</v>
      </c>
      <c r="F349">
        <v>506</v>
      </c>
    </row>
    <row r="350" spans="1:6" x14ac:dyDescent="0.25">
      <c r="A350">
        <v>350</v>
      </c>
      <c r="B350" t="s">
        <v>390</v>
      </c>
      <c r="C350" s="10">
        <v>0.2083333283662796</v>
      </c>
      <c r="D350" s="10">
        <v>0.2916666567325592</v>
      </c>
      <c r="E350" s="10">
        <v>0.5</v>
      </c>
      <c r="F350">
        <v>507</v>
      </c>
    </row>
    <row r="351" spans="1:6" x14ac:dyDescent="0.25">
      <c r="A351">
        <v>351</v>
      </c>
      <c r="B351" t="s">
        <v>368</v>
      </c>
      <c r="C351" s="10">
        <v>0.2083333283662796</v>
      </c>
      <c r="D351" s="10">
        <v>0.3020833432674408</v>
      </c>
      <c r="E351" s="10">
        <v>0.51041668653488159</v>
      </c>
      <c r="F351">
        <v>508</v>
      </c>
    </row>
    <row r="352" spans="1:6" x14ac:dyDescent="0.25">
      <c r="A352">
        <v>352</v>
      </c>
      <c r="B352" t="s">
        <v>391</v>
      </c>
      <c r="C352" s="10">
        <v>0.2083333283662796</v>
      </c>
      <c r="D352" s="10">
        <v>0.3020833432674408</v>
      </c>
      <c r="E352" s="10">
        <v>0.51041668653488159</v>
      </c>
      <c r="F352">
        <v>509</v>
      </c>
    </row>
    <row r="353" spans="1:6" x14ac:dyDescent="0.25">
      <c r="A353">
        <v>353</v>
      </c>
      <c r="B353" t="s">
        <v>383</v>
      </c>
      <c r="C353" s="10">
        <v>0.21875</v>
      </c>
      <c r="D353" s="10">
        <v>0.59375</v>
      </c>
      <c r="E353" s="10">
        <v>0.8125</v>
      </c>
      <c r="F353">
        <v>510</v>
      </c>
    </row>
    <row r="354" spans="1:6" x14ac:dyDescent="0.25">
      <c r="A354">
        <v>354</v>
      </c>
      <c r="B354" t="s">
        <v>392</v>
      </c>
      <c r="C354" s="10">
        <v>0.1875</v>
      </c>
      <c r="D354" s="10">
        <v>0.625</v>
      </c>
      <c r="E354" s="10">
        <v>0.8125</v>
      </c>
      <c r="F354">
        <v>501</v>
      </c>
    </row>
    <row r="355" spans="1:6" x14ac:dyDescent="0.25">
      <c r="A355">
        <v>355</v>
      </c>
      <c r="B355" t="s">
        <v>393</v>
      </c>
      <c r="C355" s="10">
        <v>0.2083333283662796</v>
      </c>
      <c r="D355" s="10">
        <v>0.86458331346511841</v>
      </c>
      <c r="E355" s="10">
        <v>7.2916664183139801E-2</v>
      </c>
      <c r="F355">
        <v>502</v>
      </c>
    </row>
    <row r="356" spans="1:6" x14ac:dyDescent="0.25">
      <c r="A356">
        <v>356</v>
      </c>
      <c r="B356" t="s">
        <v>394</v>
      </c>
      <c r="C356" s="10">
        <v>0.2604166567325592</v>
      </c>
      <c r="D356" s="10">
        <v>0.3541666567325592</v>
      </c>
      <c r="E356" s="10">
        <v>0.61458331346511841</v>
      </c>
      <c r="F356">
        <v>503</v>
      </c>
    </row>
    <row r="357" spans="1:6" x14ac:dyDescent="0.25">
      <c r="A357">
        <v>357</v>
      </c>
      <c r="B357" t="s">
        <v>395</v>
      </c>
      <c r="C357" s="10">
        <v>0.2291666716337204</v>
      </c>
      <c r="D357" s="10">
        <v>0.59375</v>
      </c>
      <c r="E357" s="10">
        <v>0.82291668653488159</v>
      </c>
      <c r="F357">
        <v>504</v>
      </c>
    </row>
    <row r="358" spans="1:6" x14ac:dyDescent="0.25">
      <c r="A358">
        <v>358</v>
      </c>
      <c r="B358" t="s">
        <v>395</v>
      </c>
      <c r="C358" s="10">
        <v>0.1354166716337204</v>
      </c>
      <c r="D358" s="10">
        <v>0.6875</v>
      </c>
      <c r="E358" s="10">
        <v>0.82291668653488159</v>
      </c>
      <c r="F358">
        <v>505</v>
      </c>
    </row>
    <row r="359" spans="1:6" x14ac:dyDescent="0.25">
      <c r="A359">
        <v>359</v>
      </c>
      <c r="B359" t="s">
        <v>396</v>
      </c>
      <c r="C359" s="10">
        <v>0.2083333283662796</v>
      </c>
      <c r="D359" s="10">
        <v>0.375</v>
      </c>
      <c r="E359" s="10">
        <v>0.58333331346511841</v>
      </c>
      <c r="F359">
        <v>506</v>
      </c>
    </row>
    <row r="360" spans="1:6" x14ac:dyDescent="0.25">
      <c r="A360">
        <v>360</v>
      </c>
      <c r="B360" t="s">
        <v>397</v>
      </c>
      <c r="C360" s="10">
        <v>4.1666667908430099E-2</v>
      </c>
      <c r="D360" s="10">
        <v>0.66666668653488159</v>
      </c>
      <c r="E360" s="10">
        <v>0.70833331346511841</v>
      </c>
      <c r="F360">
        <v>507</v>
      </c>
    </row>
    <row r="361" spans="1:6" x14ac:dyDescent="0.25">
      <c r="A361">
        <v>361</v>
      </c>
      <c r="B361" t="s">
        <v>398</v>
      </c>
      <c r="C361" s="10">
        <v>0.28125</v>
      </c>
      <c r="D361" s="10">
        <v>0.2395833283662796</v>
      </c>
      <c r="E361" s="10">
        <v>0.52083331346511841</v>
      </c>
      <c r="F361">
        <v>508</v>
      </c>
    </row>
    <row r="362" spans="1:6" x14ac:dyDescent="0.25">
      <c r="A362">
        <v>362</v>
      </c>
      <c r="B362" t="s">
        <v>399</v>
      </c>
      <c r="C362" s="10">
        <v>0.125</v>
      </c>
      <c r="D362" s="10">
        <v>0.60416668653488159</v>
      </c>
      <c r="E362" s="10">
        <v>0.72916668653488159</v>
      </c>
      <c r="F362">
        <v>509</v>
      </c>
    </row>
    <row r="363" spans="1:6" x14ac:dyDescent="0.25">
      <c r="A363">
        <v>363</v>
      </c>
      <c r="B363" t="s">
        <v>400</v>
      </c>
      <c r="C363" s="10">
        <v>6.25E-2</v>
      </c>
      <c r="D363" s="10">
        <v>0.5625</v>
      </c>
      <c r="E363" s="10">
        <v>0.625</v>
      </c>
      <c r="F363">
        <v>510</v>
      </c>
    </row>
    <row r="364" spans="1:6" x14ac:dyDescent="0.25">
      <c r="A364">
        <v>364</v>
      </c>
      <c r="B364" t="s">
        <v>401</v>
      </c>
      <c r="C364" s="10">
        <v>4.1666667908430099E-2</v>
      </c>
      <c r="D364" s="10">
        <v>0.25</v>
      </c>
      <c r="E364" s="10">
        <v>0.2916666567325592</v>
      </c>
      <c r="F364">
        <v>501</v>
      </c>
    </row>
    <row r="365" spans="1:6" x14ac:dyDescent="0.25">
      <c r="A365">
        <v>365</v>
      </c>
      <c r="B365" t="s">
        <v>402</v>
      </c>
      <c r="C365" s="10">
        <v>5.2083332091569901E-2</v>
      </c>
      <c r="D365" s="10">
        <v>0.72916668653488159</v>
      </c>
      <c r="E365" s="10">
        <v>0.78125</v>
      </c>
      <c r="F365">
        <v>502</v>
      </c>
    </row>
    <row r="366" spans="1:6" x14ac:dyDescent="0.25">
      <c r="A366">
        <v>366</v>
      </c>
      <c r="B366" t="s">
        <v>403</v>
      </c>
      <c r="C366" s="10">
        <v>0.1354166716337204</v>
      </c>
      <c r="D366" s="10">
        <v>0.54166668653488159</v>
      </c>
      <c r="E366" s="10">
        <v>0.67708331346511841</v>
      </c>
      <c r="F366">
        <v>503</v>
      </c>
    </row>
    <row r="367" spans="1:6" x14ac:dyDescent="0.25">
      <c r="A367">
        <v>367</v>
      </c>
      <c r="B367" t="s">
        <v>180</v>
      </c>
      <c r="C367" s="10">
        <v>7.2916664183139801E-2</v>
      </c>
      <c r="D367" s="10">
        <v>0.70833331346511841</v>
      </c>
      <c r="E367" s="10">
        <v>0.78125</v>
      </c>
      <c r="F367">
        <v>504</v>
      </c>
    </row>
    <row r="368" spans="1:6" x14ac:dyDescent="0.25">
      <c r="A368">
        <v>368</v>
      </c>
      <c r="B368" t="s">
        <v>404</v>
      </c>
      <c r="C368" s="10">
        <v>0.1875</v>
      </c>
      <c r="D368" s="10">
        <v>0.3958333432674408</v>
      </c>
      <c r="E368" s="10">
        <v>0.58333331346511841</v>
      </c>
      <c r="F368">
        <v>505</v>
      </c>
    </row>
    <row r="369" spans="1:6" x14ac:dyDescent="0.25">
      <c r="A369">
        <v>369</v>
      </c>
      <c r="B369" t="s">
        <v>114</v>
      </c>
      <c r="C369" s="10">
        <v>8.3333335816860199E-2</v>
      </c>
      <c r="D369" s="10">
        <v>0.21875</v>
      </c>
      <c r="E369" s="10">
        <v>0.3020833432674408</v>
      </c>
      <c r="F369">
        <v>506</v>
      </c>
    </row>
    <row r="370" spans="1:6" x14ac:dyDescent="0.25">
      <c r="A370">
        <v>370</v>
      </c>
      <c r="B370" t="s">
        <v>405</v>
      </c>
      <c r="C370" s="10">
        <v>0.1875</v>
      </c>
      <c r="D370" s="10">
        <v>0.5</v>
      </c>
      <c r="E370" s="10">
        <v>0.6875</v>
      </c>
      <c r="F370">
        <v>507</v>
      </c>
    </row>
    <row r="371" spans="1:6" x14ac:dyDescent="0.25">
      <c r="A371">
        <v>371</v>
      </c>
      <c r="B371" t="s">
        <v>406</v>
      </c>
      <c r="C371" s="10">
        <v>0.1875</v>
      </c>
      <c r="D371" s="10">
        <v>0.72916668653488159</v>
      </c>
      <c r="E371" s="10">
        <v>0.91666668653488159</v>
      </c>
      <c r="F371">
        <v>508</v>
      </c>
    </row>
    <row r="372" spans="1:6" x14ac:dyDescent="0.25">
      <c r="A372">
        <v>372</v>
      </c>
      <c r="B372" t="s">
        <v>407</v>
      </c>
      <c r="C372" s="10">
        <v>0.1145833358168602</v>
      </c>
      <c r="D372" s="10">
        <v>0.8125</v>
      </c>
      <c r="E372" s="10">
        <v>0.92708331346511841</v>
      </c>
      <c r="F372">
        <v>509</v>
      </c>
    </row>
    <row r="373" spans="1:6" x14ac:dyDescent="0.25">
      <c r="A373">
        <v>373</v>
      </c>
      <c r="B373" t="s">
        <v>408</v>
      </c>
      <c r="C373" s="10">
        <v>0.125</v>
      </c>
      <c r="D373" s="10">
        <v>0.40625</v>
      </c>
      <c r="E373" s="10">
        <v>0.53125</v>
      </c>
      <c r="F373">
        <v>510</v>
      </c>
    </row>
    <row r="374" spans="1:6" x14ac:dyDescent="0.25">
      <c r="A374">
        <v>374</v>
      </c>
      <c r="B374" t="s">
        <v>409</v>
      </c>
      <c r="C374" s="10">
        <v>0.2604166567325592</v>
      </c>
      <c r="D374" s="10">
        <v>0.3020833432674408</v>
      </c>
      <c r="E374" s="10">
        <v>0.5625</v>
      </c>
      <c r="F374">
        <v>501</v>
      </c>
    </row>
    <row r="375" spans="1:6" x14ac:dyDescent="0.25">
      <c r="A375">
        <v>375</v>
      </c>
      <c r="B375" t="s">
        <v>410</v>
      </c>
      <c r="C375" s="10">
        <v>8.3333335816860199E-2</v>
      </c>
      <c r="D375" s="10">
        <v>0.75</v>
      </c>
      <c r="E375" s="10">
        <v>0.83333331346511841</v>
      </c>
      <c r="F375">
        <v>502</v>
      </c>
    </row>
    <row r="376" spans="1:6" x14ac:dyDescent="0.25">
      <c r="A376">
        <v>376</v>
      </c>
      <c r="B376" t="s">
        <v>393</v>
      </c>
      <c r="C376" s="10">
        <v>0.2083333283662796</v>
      </c>
      <c r="D376" s="10">
        <v>0.91666668653488159</v>
      </c>
      <c r="E376" s="10">
        <v>0.125</v>
      </c>
      <c r="F376">
        <v>503</v>
      </c>
    </row>
    <row r="377" spans="1:6" x14ac:dyDescent="0.25">
      <c r="A377">
        <v>377</v>
      </c>
      <c r="B377" t="s">
        <v>411</v>
      </c>
      <c r="C377" s="10">
        <v>0.15625</v>
      </c>
      <c r="D377" s="10">
        <v>0.79166668653488159</v>
      </c>
      <c r="E377" s="10">
        <v>0.94791668653488159</v>
      </c>
      <c r="F377">
        <v>504</v>
      </c>
    </row>
    <row r="378" spans="1:6" x14ac:dyDescent="0.25">
      <c r="A378">
        <v>378</v>
      </c>
      <c r="B378" t="s">
        <v>412</v>
      </c>
      <c r="C378" s="10">
        <v>0.21875</v>
      </c>
      <c r="D378" s="10">
        <v>0.96875</v>
      </c>
      <c r="E378" s="10">
        <v>0.1875</v>
      </c>
      <c r="F378">
        <v>505</v>
      </c>
    </row>
    <row r="379" spans="1:6" x14ac:dyDescent="0.25">
      <c r="A379">
        <v>379</v>
      </c>
      <c r="B379" t="s">
        <v>413</v>
      </c>
      <c r="C379" s="10">
        <v>0.1145833358168602</v>
      </c>
      <c r="D379" s="10">
        <v>0.55208331346511841</v>
      </c>
      <c r="E379" s="10">
        <v>0.66666668653488159</v>
      </c>
      <c r="F379">
        <v>506</v>
      </c>
    </row>
    <row r="380" spans="1:6" x14ac:dyDescent="0.25">
      <c r="A380">
        <v>380</v>
      </c>
      <c r="B380" t="s">
        <v>414</v>
      </c>
      <c r="C380" s="10">
        <v>8.3333335816860199E-2</v>
      </c>
      <c r="D380" s="10">
        <v>0.66666668653488159</v>
      </c>
      <c r="E380" s="10">
        <v>0.75</v>
      </c>
      <c r="F380">
        <v>507</v>
      </c>
    </row>
    <row r="381" spans="1:6" x14ac:dyDescent="0.25">
      <c r="A381">
        <v>381</v>
      </c>
      <c r="B381" t="s">
        <v>410</v>
      </c>
      <c r="C381" s="10">
        <v>8.3333335816860199E-2</v>
      </c>
      <c r="D381" s="10">
        <v>0.75</v>
      </c>
      <c r="E381" s="10">
        <v>0.83333331346511841</v>
      </c>
      <c r="F381">
        <v>508</v>
      </c>
    </row>
    <row r="382" spans="1:6" x14ac:dyDescent="0.25">
      <c r="A382">
        <v>382</v>
      </c>
      <c r="B382" t="s">
        <v>415</v>
      </c>
      <c r="C382" s="10">
        <v>0.28125</v>
      </c>
      <c r="D382" s="10">
        <v>0.2395833283662796</v>
      </c>
      <c r="E382" s="10">
        <v>0.52083331346511841</v>
      </c>
      <c r="F382">
        <v>509</v>
      </c>
    </row>
    <row r="383" spans="1:6" x14ac:dyDescent="0.25">
      <c r="A383">
        <v>383</v>
      </c>
      <c r="B383" t="s">
        <v>416</v>
      </c>
      <c r="C383" s="10">
        <v>0.1458333283662796</v>
      </c>
      <c r="D383" s="10">
        <v>0.5625</v>
      </c>
      <c r="E383" s="10">
        <v>0.70833331346511841</v>
      </c>
      <c r="F383">
        <v>510</v>
      </c>
    </row>
    <row r="384" spans="1:6" x14ac:dyDescent="0.25">
      <c r="A384">
        <v>384</v>
      </c>
      <c r="B384" t="s">
        <v>417</v>
      </c>
      <c r="C384" s="10">
        <v>0.2708333432674408</v>
      </c>
      <c r="D384" s="10">
        <v>0.2708333432674408</v>
      </c>
      <c r="E384" s="10">
        <v>0.54166668653488159</v>
      </c>
      <c r="F384">
        <v>501</v>
      </c>
    </row>
    <row r="385" spans="1:6" x14ac:dyDescent="0.25">
      <c r="A385">
        <v>385</v>
      </c>
      <c r="B385" t="s">
        <v>418</v>
      </c>
      <c r="C385" s="10">
        <v>0.1041666641831398</v>
      </c>
      <c r="D385" s="10">
        <v>0.67708331346511841</v>
      </c>
      <c r="E385" s="10">
        <v>0.78125</v>
      </c>
      <c r="F385">
        <v>502</v>
      </c>
    </row>
    <row r="386" spans="1:6" x14ac:dyDescent="0.25">
      <c r="A386">
        <v>386</v>
      </c>
      <c r="B386" t="s">
        <v>419</v>
      </c>
      <c r="C386" s="10">
        <v>0.2083333283662796</v>
      </c>
      <c r="D386" s="10">
        <v>0.3333333432674408</v>
      </c>
      <c r="E386" s="10">
        <v>0.54166668653488159</v>
      </c>
      <c r="F386">
        <v>503</v>
      </c>
    </row>
    <row r="387" spans="1:6" x14ac:dyDescent="0.25">
      <c r="A387">
        <v>387</v>
      </c>
      <c r="B387" t="s">
        <v>420</v>
      </c>
      <c r="C387" s="10">
        <v>7.2916664183139801E-2</v>
      </c>
      <c r="D387" s="10">
        <v>0.4270833432674408</v>
      </c>
      <c r="E387" s="10">
        <v>0.5</v>
      </c>
      <c r="F387">
        <v>504</v>
      </c>
    </row>
    <row r="388" spans="1:6" x14ac:dyDescent="0.25">
      <c r="A388">
        <v>388</v>
      </c>
      <c r="B388" t="s">
        <v>421</v>
      </c>
      <c r="C388" s="10">
        <v>0.1041666641831398</v>
      </c>
      <c r="D388" s="10">
        <v>0.53125</v>
      </c>
      <c r="E388" s="10">
        <v>0.63541668653488159</v>
      </c>
      <c r="F388">
        <v>505</v>
      </c>
    </row>
    <row r="389" spans="1:6" x14ac:dyDescent="0.25">
      <c r="A389">
        <v>389</v>
      </c>
      <c r="B389" t="s">
        <v>133</v>
      </c>
      <c r="C389" s="10">
        <v>8.3333335816860199E-2</v>
      </c>
      <c r="D389" s="10">
        <v>0.67708331346511841</v>
      </c>
      <c r="E389" s="10">
        <v>0.76041668653488159</v>
      </c>
      <c r="F389">
        <v>506</v>
      </c>
    </row>
    <row r="390" spans="1:6" x14ac:dyDescent="0.25">
      <c r="A390">
        <v>390</v>
      </c>
      <c r="B390" t="s">
        <v>133</v>
      </c>
      <c r="C390" s="10">
        <v>0.1770833283662796</v>
      </c>
      <c r="D390" s="10">
        <v>0.60416668653488159</v>
      </c>
      <c r="E390" s="10">
        <v>0.78125</v>
      </c>
      <c r="F390">
        <v>507</v>
      </c>
    </row>
    <row r="391" spans="1:6" x14ac:dyDescent="0.25">
      <c r="A391">
        <v>391</v>
      </c>
      <c r="B391" t="s">
        <v>422</v>
      </c>
      <c r="C391" s="10">
        <v>0.15625</v>
      </c>
      <c r="D391" s="10">
        <v>0.53125</v>
      </c>
      <c r="E391" s="10">
        <v>0.6875</v>
      </c>
      <c r="F391">
        <v>508</v>
      </c>
    </row>
    <row r="392" spans="1:6" x14ac:dyDescent="0.25">
      <c r="A392">
        <v>392</v>
      </c>
      <c r="B392" t="s">
        <v>417</v>
      </c>
      <c r="C392" s="10">
        <v>0.2916666567325592</v>
      </c>
      <c r="D392" s="10">
        <v>0.2916666567325592</v>
      </c>
      <c r="E392" s="10">
        <v>0.58333331346511841</v>
      </c>
      <c r="F392">
        <v>509</v>
      </c>
    </row>
    <row r="393" spans="1:6" x14ac:dyDescent="0.25">
      <c r="A393">
        <v>393</v>
      </c>
      <c r="B393" t="s">
        <v>414</v>
      </c>
      <c r="C393" s="10">
        <v>0.125</v>
      </c>
      <c r="D393" s="10">
        <v>0.63541668653488159</v>
      </c>
      <c r="E393" s="10">
        <v>0.76041668653488159</v>
      </c>
      <c r="F393">
        <v>510</v>
      </c>
    </row>
    <row r="394" spans="1:6" x14ac:dyDescent="0.25">
      <c r="A394">
        <v>394</v>
      </c>
      <c r="B394" t="s">
        <v>410</v>
      </c>
      <c r="C394" s="10">
        <v>6.25E-2</v>
      </c>
      <c r="D394" s="10">
        <v>0.76041668653488159</v>
      </c>
      <c r="E394" s="10">
        <v>0.82291668653488159</v>
      </c>
      <c r="F394">
        <v>501</v>
      </c>
    </row>
    <row r="395" spans="1:6" x14ac:dyDescent="0.25">
      <c r="A395">
        <v>395</v>
      </c>
      <c r="B395" t="s">
        <v>423</v>
      </c>
      <c r="C395" s="10">
        <v>0.1354166716337204</v>
      </c>
      <c r="D395" s="10">
        <v>0.4791666567325592</v>
      </c>
      <c r="E395" s="10">
        <v>0.61458331346511841</v>
      </c>
      <c r="F395">
        <v>502</v>
      </c>
    </row>
    <row r="396" spans="1:6" x14ac:dyDescent="0.25">
      <c r="A396">
        <v>396</v>
      </c>
      <c r="B396" t="s">
        <v>424</v>
      </c>
      <c r="C396" s="10">
        <v>0.1458333283662796</v>
      </c>
      <c r="D396" s="10">
        <v>0.3854166567325592</v>
      </c>
      <c r="E396" s="10">
        <v>0.53125</v>
      </c>
      <c r="F396">
        <v>503</v>
      </c>
    </row>
    <row r="397" spans="1:6" x14ac:dyDescent="0.25">
      <c r="A397">
        <v>397</v>
      </c>
      <c r="B397" t="s">
        <v>425</v>
      </c>
      <c r="C397" s="10">
        <v>0.1875</v>
      </c>
      <c r="D397" s="10">
        <v>0.1770833283662796</v>
      </c>
      <c r="E397" s="10">
        <v>0.3645833432674408</v>
      </c>
      <c r="F397">
        <v>504</v>
      </c>
    </row>
    <row r="398" spans="1:6" x14ac:dyDescent="0.25">
      <c r="A398">
        <v>398</v>
      </c>
      <c r="B398" t="s">
        <v>426</v>
      </c>
      <c r="C398" s="10">
        <v>0.1041666641831398</v>
      </c>
      <c r="D398" s="10">
        <v>0.3854166567325592</v>
      </c>
      <c r="E398" s="10">
        <v>0.4895833432674408</v>
      </c>
      <c r="F398">
        <v>505</v>
      </c>
    </row>
    <row r="399" spans="1:6" x14ac:dyDescent="0.25">
      <c r="A399">
        <v>399</v>
      </c>
      <c r="B399" t="s">
        <v>427</v>
      </c>
      <c r="C399" s="10">
        <v>0.1666666716337204</v>
      </c>
      <c r="D399" s="10">
        <v>0.1875</v>
      </c>
      <c r="E399" s="10">
        <v>0.3541666567325592</v>
      </c>
      <c r="F399">
        <v>506</v>
      </c>
    </row>
    <row r="400" spans="1:6" x14ac:dyDescent="0.25">
      <c r="A400">
        <v>400</v>
      </c>
      <c r="B400" t="s">
        <v>428</v>
      </c>
      <c r="C400" s="10">
        <v>0.1458333283662796</v>
      </c>
      <c r="D400" s="10">
        <v>0.83333331346511841</v>
      </c>
      <c r="E400" s="10">
        <v>0.97916668653488159</v>
      </c>
      <c r="F400">
        <v>507</v>
      </c>
    </row>
    <row r="401" spans="1:6" x14ac:dyDescent="0.25">
      <c r="A401">
        <v>401</v>
      </c>
      <c r="B401" t="s">
        <v>429</v>
      </c>
      <c r="C401" s="10">
        <v>2.083333395421505E-2</v>
      </c>
      <c r="D401" s="10">
        <v>0.15625</v>
      </c>
      <c r="E401" s="10">
        <v>0.1770833283662796</v>
      </c>
      <c r="F401">
        <v>508</v>
      </c>
    </row>
    <row r="402" spans="1:6" x14ac:dyDescent="0.25">
      <c r="A402">
        <v>402</v>
      </c>
      <c r="B402" t="s">
        <v>430</v>
      </c>
      <c r="C402" s="10">
        <v>0.1458333283662796</v>
      </c>
      <c r="D402" s="10">
        <v>0.51041668653488159</v>
      </c>
      <c r="E402" s="10">
        <v>0.65625</v>
      </c>
      <c r="F402">
        <v>509</v>
      </c>
    </row>
    <row r="403" spans="1:6" x14ac:dyDescent="0.25">
      <c r="A403">
        <v>403</v>
      </c>
      <c r="B403" t="s">
        <v>431</v>
      </c>
      <c r="C403" s="10">
        <v>0.2291666716337204</v>
      </c>
      <c r="D403" s="10">
        <v>0.65625</v>
      </c>
      <c r="E403" s="10">
        <v>0.88541668653488159</v>
      </c>
      <c r="F403">
        <v>510</v>
      </c>
    </row>
    <row r="404" spans="1:6" x14ac:dyDescent="0.25">
      <c r="A404">
        <v>404</v>
      </c>
      <c r="B404" t="s">
        <v>432</v>
      </c>
      <c r="C404" s="10">
        <v>0.1458333283662796</v>
      </c>
      <c r="D404" s="10">
        <v>0.51041668653488159</v>
      </c>
      <c r="E404" s="10">
        <v>0.65625</v>
      </c>
      <c r="F404">
        <v>501</v>
      </c>
    </row>
    <row r="405" spans="1:6" x14ac:dyDescent="0.25">
      <c r="A405">
        <v>405</v>
      </c>
      <c r="B405" t="s">
        <v>433</v>
      </c>
      <c r="C405" s="10">
        <v>0.1979166716337204</v>
      </c>
      <c r="D405" s="10">
        <v>0.4583333432674408</v>
      </c>
      <c r="E405" s="10">
        <v>0.65625</v>
      </c>
      <c r="F405">
        <v>502</v>
      </c>
    </row>
    <row r="406" spans="1:6" x14ac:dyDescent="0.25">
      <c r="A406">
        <v>406</v>
      </c>
      <c r="B406" t="s">
        <v>434</v>
      </c>
      <c r="C406" s="10">
        <v>0.125</v>
      </c>
      <c r="D406" s="10">
        <v>0.66666668653488159</v>
      </c>
      <c r="E406" s="10">
        <v>0.79166668653488159</v>
      </c>
      <c r="F406">
        <v>503</v>
      </c>
    </row>
    <row r="407" spans="1:6" x14ac:dyDescent="0.25">
      <c r="A407">
        <v>407</v>
      </c>
      <c r="B407" t="s">
        <v>433</v>
      </c>
      <c r="C407" s="10">
        <v>0.2604166567325592</v>
      </c>
      <c r="D407" s="10">
        <v>0.46875</v>
      </c>
      <c r="E407" s="10">
        <v>0.72916668653488159</v>
      </c>
      <c r="F407">
        <v>504</v>
      </c>
    </row>
    <row r="408" spans="1:6" x14ac:dyDescent="0.25">
      <c r="A408">
        <v>408</v>
      </c>
      <c r="B408" t="s">
        <v>435</v>
      </c>
      <c r="C408" s="10">
        <v>0.1145833358168602</v>
      </c>
      <c r="D408" s="10">
        <v>0.77083331346511841</v>
      </c>
      <c r="E408" s="10">
        <v>0.88541668653488159</v>
      </c>
      <c r="F408">
        <v>505</v>
      </c>
    </row>
    <row r="409" spans="1:6" x14ac:dyDescent="0.25">
      <c r="A409">
        <v>409</v>
      </c>
      <c r="B409" t="s">
        <v>436</v>
      </c>
      <c r="C409" s="10">
        <v>5.2083332091569901E-2</v>
      </c>
      <c r="D409" s="10">
        <v>0.77083331346511841</v>
      </c>
      <c r="E409" s="10">
        <v>0.82291668653488159</v>
      </c>
      <c r="F409">
        <v>506</v>
      </c>
    </row>
    <row r="410" spans="1:6" x14ac:dyDescent="0.25">
      <c r="A410">
        <v>410</v>
      </c>
      <c r="B410" t="s">
        <v>434</v>
      </c>
      <c r="C410" s="10">
        <v>0.15625</v>
      </c>
      <c r="D410" s="10">
        <v>0.66666668653488159</v>
      </c>
      <c r="E410" s="10">
        <v>0.82291668653488159</v>
      </c>
      <c r="F410">
        <v>507</v>
      </c>
    </row>
    <row r="411" spans="1:6" x14ac:dyDescent="0.25">
      <c r="A411">
        <v>411</v>
      </c>
      <c r="B411" t="s">
        <v>437</v>
      </c>
      <c r="C411" s="10">
        <v>0.1875</v>
      </c>
      <c r="D411" s="10">
        <v>0.46875</v>
      </c>
      <c r="E411" s="10">
        <v>0.65625</v>
      </c>
      <c r="F411">
        <v>508</v>
      </c>
    </row>
    <row r="412" spans="1:6" x14ac:dyDescent="0.25">
      <c r="A412">
        <v>412</v>
      </c>
      <c r="B412" t="s">
        <v>438</v>
      </c>
      <c r="C412" s="10">
        <v>0.1875</v>
      </c>
      <c r="D412" s="10">
        <v>0.67708331346511841</v>
      </c>
      <c r="E412" s="10">
        <v>0.86458331346511841</v>
      </c>
      <c r="F412">
        <v>509</v>
      </c>
    </row>
    <row r="413" spans="1:6" x14ac:dyDescent="0.25">
      <c r="A413">
        <v>413</v>
      </c>
      <c r="B413" t="s">
        <v>439</v>
      </c>
      <c r="C413" s="10">
        <v>0.1666666716337204</v>
      </c>
      <c r="D413" s="10">
        <v>0.67708331346511841</v>
      </c>
      <c r="E413" s="10">
        <v>0.84375</v>
      </c>
      <c r="F413">
        <v>510</v>
      </c>
    </row>
    <row r="414" spans="1:6" x14ac:dyDescent="0.25">
      <c r="A414">
        <v>414</v>
      </c>
      <c r="B414" t="s">
        <v>440</v>
      </c>
      <c r="C414" s="10">
        <v>0.1458333283662796</v>
      </c>
      <c r="D414" s="10">
        <v>0.54166668653488159</v>
      </c>
      <c r="E414" s="10">
        <v>0.6875</v>
      </c>
      <c r="F414">
        <v>501</v>
      </c>
    </row>
    <row r="415" spans="1:6" x14ac:dyDescent="0.25">
      <c r="A415">
        <v>415</v>
      </c>
      <c r="B415" t="s">
        <v>441</v>
      </c>
      <c r="C415" s="10">
        <v>8.3333335816860199E-2</v>
      </c>
      <c r="D415" s="10">
        <v>0.69791668653488159</v>
      </c>
      <c r="E415" s="10">
        <v>0.78125</v>
      </c>
      <c r="F415">
        <v>502</v>
      </c>
    </row>
    <row r="416" spans="1:6" x14ac:dyDescent="0.25">
      <c r="A416">
        <v>416</v>
      </c>
      <c r="B416" t="s">
        <v>442</v>
      </c>
      <c r="C416" s="10">
        <v>9.375E-2</v>
      </c>
      <c r="D416" s="10">
        <v>0.69791668653488159</v>
      </c>
      <c r="E416" s="10">
        <v>0.79166668653488159</v>
      </c>
      <c r="F416">
        <v>503</v>
      </c>
    </row>
    <row r="417" spans="1:6" x14ac:dyDescent="0.25">
      <c r="A417">
        <v>417</v>
      </c>
      <c r="B417" t="s">
        <v>394</v>
      </c>
      <c r="C417" s="10">
        <v>0.3125</v>
      </c>
      <c r="D417" s="10">
        <v>0.2916666567325592</v>
      </c>
      <c r="E417" s="10">
        <v>0.60416668653488159</v>
      </c>
      <c r="F417">
        <v>504</v>
      </c>
    </row>
    <row r="418" spans="1:6" x14ac:dyDescent="0.25">
      <c r="A418">
        <v>418</v>
      </c>
      <c r="B418" t="s">
        <v>442</v>
      </c>
      <c r="C418" s="10">
        <v>0.125</v>
      </c>
      <c r="D418" s="10">
        <v>0.66666668653488159</v>
      </c>
      <c r="E418" s="10">
        <v>0.79166668653488159</v>
      </c>
      <c r="F418">
        <v>505</v>
      </c>
    </row>
    <row r="419" spans="1:6" x14ac:dyDescent="0.25">
      <c r="A419">
        <v>419</v>
      </c>
      <c r="B419" t="s">
        <v>316</v>
      </c>
      <c r="C419" s="10">
        <v>0.2083333283662796</v>
      </c>
      <c r="D419" s="10">
        <v>0.2916666567325592</v>
      </c>
      <c r="E419" s="10">
        <v>0.5</v>
      </c>
      <c r="F419">
        <v>506</v>
      </c>
    </row>
    <row r="420" spans="1:6" x14ac:dyDescent="0.25">
      <c r="A420">
        <v>420</v>
      </c>
      <c r="B420" t="s">
        <v>443</v>
      </c>
      <c r="C420" s="10">
        <v>0.2291666716337204</v>
      </c>
      <c r="D420" s="10">
        <v>0.2916666567325592</v>
      </c>
      <c r="E420" s="10">
        <v>0.52083331346511841</v>
      </c>
      <c r="F420">
        <v>507</v>
      </c>
    </row>
    <row r="421" spans="1:6" x14ac:dyDescent="0.25">
      <c r="A421">
        <v>421</v>
      </c>
      <c r="B421" t="s">
        <v>444</v>
      </c>
      <c r="C421" s="10">
        <v>0.125</v>
      </c>
      <c r="D421" s="10">
        <v>0.5625</v>
      </c>
      <c r="E421" s="10">
        <v>0.6875</v>
      </c>
      <c r="F421">
        <v>508</v>
      </c>
    </row>
    <row r="422" spans="1:6" x14ac:dyDescent="0.25">
      <c r="A422">
        <v>422</v>
      </c>
      <c r="B422" t="s">
        <v>445</v>
      </c>
      <c r="C422" s="10">
        <v>0.1145833358168602</v>
      </c>
      <c r="D422" s="10">
        <v>0.6875</v>
      </c>
      <c r="E422" s="10">
        <v>0.80208331346511841</v>
      </c>
      <c r="F422">
        <v>509</v>
      </c>
    </row>
    <row r="423" spans="1:6" x14ac:dyDescent="0.25">
      <c r="A423">
        <v>423</v>
      </c>
      <c r="B423" t="s">
        <v>446</v>
      </c>
      <c r="C423" s="10">
        <v>0.25</v>
      </c>
      <c r="D423" s="10">
        <v>0.4166666567325592</v>
      </c>
      <c r="E423" s="10">
        <v>0.66666668653488159</v>
      </c>
      <c r="F423">
        <v>510</v>
      </c>
    </row>
    <row r="424" spans="1:6" x14ac:dyDescent="0.25">
      <c r="A424">
        <v>424</v>
      </c>
      <c r="B424" t="s">
        <v>447</v>
      </c>
      <c r="C424" s="10">
        <v>0.2708333432674408</v>
      </c>
      <c r="D424" s="10">
        <v>0.4375</v>
      </c>
      <c r="E424" s="10">
        <v>0.70833331346511841</v>
      </c>
      <c r="F424">
        <v>501</v>
      </c>
    </row>
    <row r="425" spans="1:6" x14ac:dyDescent="0.25">
      <c r="A425">
        <v>425</v>
      </c>
      <c r="B425" t="s">
        <v>448</v>
      </c>
      <c r="C425" s="10">
        <v>0.2083333283662796</v>
      </c>
      <c r="D425" s="10">
        <v>0.1875</v>
      </c>
      <c r="E425" s="10">
        <v>0.3958333432674408</v>
      </c>
      <c r="F425">
        <v>502</v>
      </c>
    </row>
    <row r="426" spans="1:6" x14ac:dyDescent="0.25">
      <c r="A426">
        <v>426</v>
      </c>
      <c r="B426" t="s">
        <v>449</v>
      </c>
      <c r="C426" s="10">
        <v>0.2916666567325592</v>
      </c>
      <c r="D426" s="10">
        <v>0.2395833283662796</v>
      </c>
      <c r="E426" s="10">
        <v>0.53125</v>
      </c>
      <c r="F426">
        <v>503</v>
      </c>
    </row>
    <row r="427" spans="1:6" x14ac:dyDescent="0.25">
      <c r="A427">
        <v>427</v>
      </c>
      <c r="B427" t="s">
        <v>450</v>
      </c>
      <c r="C427" s="10">
        <v>0.1458333283662796</v>
      </c>
      <c r="D427" s="10">
        <v>0.59375</v>
      </c>
      <c r="E427" s="10">
        <v>0.73958331346511841</v>
      </c>
      <c r="F427">
        <v>504</v>
      </c>
    </row>
    <row r="428" spans="1:6" x14ac:dyDescent="0.25">
      <c r="A428">
        <v>428</v>
      </c>
      <c r="B428" t="s">
        <v>451</v>
      </c>
      <c r="C428" s="10">
        <v>0.25</v>
      </c>
      <c r="D428" s="10">
        <v>0.2916666567325592</v>
      </c>
      <c r="E428" s="10">
        <v>0.54166668653488159</v>
      </c>
      <c r="F428">
        <v>505</v>
      </c>
    </row>
    <row r="429" spans="1:6" x14ac:dyDescent="0.25">
      <c r="A429">
        <v>429</v>
      </c>
      <c r="B429" t="s">
        <v>452</v>
      </c>
      <c r="C429" s="10">
        <v>4.1666667908430099E-2</v>
      </c>
      <c r="D429" s="10">
        <v>0.57291668653488159</v>
      </c>
      <c r="E429" s="10">
        <v>0.61458331346511841</v>
      </c>
      <c r="F429">
        <v>506</v>
      </c>
    </row>
    <row r="430" spans="1:6" x14ac:dyDescent="0.25">
      <c r="A430">
        <v>430</v>
      </c>
      <c r="B430" t="s">
        <v>453</v>
      </c>
      <c r="C430" s="10">
        <v>0.2083333283662796</v>
      </c>
      <c r="D430" s="10">
        <v>0.375</v>
      </c>
      <c r="E430" s="10">
        <v>0.58333331346511841</v>
      </c>
      <c r="F430">
        <v>507</v>
      </c>
    </row>
    <row r="431" spans="1:6" x14ac:dyDescent="0.25">
      <c r="A431">
        <v>431</v>
      </c>
      <c r="B431" t="s">
        <v>454</v>
      </c>
      <c r="C431" s="10">
        <v>0.2083333283662796</v>
      </c>
      <c r="D431" s="10">
        <v>0.2916666567325592</v>
      </c>
      <c r="E431" s="10">
        <v>0.5</v>
      </c>
      <c r="F431">
        <v>508</v>
      </c>
    </row>
    <row r="432" spans="1:6" x14ac:dyDescent="0.25">
      <c r="A432">
        <v>432</v>
      </c>
      <c r="B432" t="s">
        <v>450</v>
      </c>
      <c r="C432" s="10">
        <v>0.1666666716337204</v>
      </c>
      <c r="D432" s="10">
        <v>0.58333331346511841</v>
      </c>
      <c r="E432" s="10">
        <v>0.75</v>
      </c>
      <c r="F432">
        <v>509</v>
      </c>
    </row>
    <row r="433" spans="1:6" x14ac:dyDescent="0.25">
      <c r="A433">
        <v>433</v>
      </c>
      <c r="B433" t="s">
        <v>455</v>
      </c>
      <c r="C433" s="10">
        <v>0.1666666716337204</v>
      </c>
      <c r="D433" s="10">
        <v>0.5</v>
      </c>
      <c r="E433" s="10">
        <v>0.66666668653488159</v>
      </c>
      <c r="F433">
        <v>510</v>
      </c>
    </row>
    <row r="434" spans="1:6" x14ac:dyDescent="0.25">
      <c r="A434">
        <v>434</v>
      </c>
      <c r="B434" t="s">
        <v>456</v>
      </c>
      <c r="C434" s="10">
        <v>0.1041666641831398</v>
      </c>
      <c r="D434" s="10">
        <v>0.70833331346511841</v>
      </c>
      <c r="E434" s="10">
        <v>0.8125</v>
      </c>
      <c r="F434">
        <v>501</v>
      </c>
    </row>
    <row r="435" spans="1:6" x14ac:dyDescent="0.25">
      <c r="A435">
        <v>435</v>
      </c>
      <c r="B435" t="s">
        <v>455</v>
      </c>
      <c r="C435" s="10">
        <v>0.2708333432674408</v>
      </c>
      <c r="D435" s="10">
        <v>0.4166666567325592</v>
      </c>
      <c r="E435" s="10">
        <v>0.6875</v>
      </c>
      <c r="F435">
        <v>502</v>
      </c>
    </row>
    <row r="436" spans="1:6" x14ac:dyDescent="0.25">
      <c r="A436">
        <v>436</v>
      </c>
      <c r="B436" t="s">
        <v>456</v>
      </c>
      <c r="C436" s="10">
        <v>0.1041666641831398</v>
      </c>
      <c r="D436" s="10">
        <v>0.70833331346511841</v>
      </c>
      <c r="E436" s="10">
        <v>0.8125</v>
      </c>
      <c r="F436">
        <v>503</v>
      </c>
    </row>
    <row r="437" spans="1:6" x14ac:dyDescent="0.25">
      <c r="A437">
        <v>437</v>
      </c>
      <c r="B437" t="s">
        <v>457</v>
      </c>
      <c r="C437" s="10">
        <v>0.375</v>
      </c>
      <c r="D437" s="10">
        <v>0.25</v>
      </c>
      <c r="E437" s="10">
        <v>0.625</v>
      </c>
      <c r="F437">
        <v>504</v>
      </c>
    </row>
    <row r="438" spans="1:6" x14ac:dyDescent="0.25">
      <c r="A438">
        <v>438</v>
      </c>
      <c r="B438" t="s">
        <v>458</v>
      </c>
      <c r="C438" s="10">
        <v>0.1041666641831398</v>
      </c>
      <c r="D438" s="10">
        <v>0.55208331346511841</v>
      </c>
      <c r="E438" s="10">
        <v>0.65625</v>
      </c>
      <c r="F438">
        <v>505</v>
      </c>
    </row>
    <row r="439" spans="1:6" x14ac:dyDescent="0.25">
      <c r="A439">
        <v>439</v>
      </c>
      <c r="B439" t="s">
        <v>459</v>
      </c>
      <c r="C439" s="10">
        <v>0.125</v>
      </c>
      <c r="D439" s="10">
        <v>0.60416668653488159</v>
      </c>
      <c r="E439" s="10">
        <v>0.72916668653488159</v>
      </c>
      <c r="F439">
        <v>506</v>
      </c>
    </row>
    <row r="440" spans="1:6" x14ac:dyDescent="0.25">
      <c r="A440">
        <v>440</v>
      </c>
      <c r="B440" t="s">
        <v>199</v>
      </c>
      <c r="C440" s="10">
        <v>4.1666667908430099E-2</v>
      </c>
      <c r="D440" s="10">
        <v>0.25</v>
      </c>
      <c r="E440" s="10">
        <v>0.2916666567325592</v>
      </c>
      <c r="F440">
        <v>507</v>
      </c>
    </row>
    <row r="441" spans="1:6" x14ac:dyDescent="0.25">
      <c r="A441">
        <v>441</v>
      </c>
      <c r="B441" t="s">
        <v>460</v>
      </c>
      <c r="C441" s="10">
        <v>0.125</v>
      </c>
      <c r="D441" s="10">
        <v>0.60416668653488159</v>
      </c>
      <c r="E441" s="10">
        <v>0.72916668653488159</v>
      </c>
      <c r="F441">
        <v>508</v>
      </c>
    </row>
    <row r="442" spans="1:6" x14ac:dyDescent="0.25">
      <c r="A442">
        <v>442</v>
      </c>
      <c r="B442" t="s">
        <v>461</v>
      </c>
      <c r="C442" s="10">
        <v>0.1770833283662796</v>
      </c>
      <c r="D442" s="10">
        <v>0.6875</v>
      </c>
      <c r="E442" s="10">
        <v>0.86458331346511841</v>
      </c>
      <c r="F442">
        <v>509</v>
      </c>
    </row>
    <row r="443" spans="1:6" x14ac:dyDescent="0.25">
      <c r="A443">
        <v>443</v>
      </c>
      <c r="B443" t="s">
        <v>462</v>
      </c>
      <c r="C443" s="10">
        <v>0.1979166716337204</v>
      </c>
      <c r="D443" s="10">
        <v>0.88541668653488159</v>
      </c>
      <c r="E443" s="10">
        <v>8.3333335816860199E-2</v>
      </c>
      <c r="F443">
        <v>510</v>
      </c>
    </row>
    <row r="444" spans="1:6" x14ac:dyDescent="0.25">
      <c r="A444">
        <v>444</v>
      </c>
      <c r="B444" t="s">
        <v>463</v>
      </c>
      <c r="C444" s="10">
        <v>0.2083333283662796</v>
      </c>
      <c r="D444" s="10">
        <v>0.52083331346511841</v>
      </c>
      <c r="E444" s="10">
        <v>0.72916668653488159</v>
      </c>
      <c r="F444">
        <v>501</v>
      </c>
    </row>
    <row r="445" spans="1:6" x14ac:dyDescent="0.25">
      <c r="A445">
        <v>445</v>
      </c>
      <c r="B445" t="s">
        <v>464</v>
      </c>
      <c r="C445" s="10">
        <v>0.1875</v>
      </c>
      <c r="D445" s="10">
        <v>0.77083331346511841</v>
      </c>
      <c r="E445" s="10">
        <v>0.95833331346511841</v>
      </c>
      <c r="F445">
        <v>502</v>
      </c>
    </row>
    <row r="446" spans="1:6" x14ac:dyDescent="0.25">
      <c r="A446">
        <v>446</v>
      </c>
      <c r="B446" t="s">
        <v>465</v>
      </c>
      <c r="C446" s="10">
        <v>0.1666666716337204</v>
      </c>
      <c r="D446" s="10">
        <v>0.40625</v>
      </c>
      <c r="E446" s="10">
        <v>0.57291668653488159</v>
      </c>
      <c r="F446">
        <v>503</v>
      </c>
    </row>
    <row r="447" spans="1:6" x14ac:dyDescent="0.25">
      <c r="A447">
        <v>447</v>
      </c>
      <c r="B447" t="s">
        <v>466</v>
      </c>
      <c r="C447" s="10">
        <v>0.2083333283662796</v>
      </c>
      <c r="D447" s="10">
        <v>0.59375</v>
      </c>
      <c r="E447" s="10">
        <v>0.80208331346511841</v>
      </c>
      <c r="F447">
        <v>504</v>
      </c>
    </row>
    <row r="448" spans="1:6" x14ac:dyDescent="0.25">
      <c r="A448">
        <v>448</v>
      </c>
      <c r="B448" t="s">
        <v>467</v>
      </c>
      <c r="C448" s="10">
        <v>0.1666666716337204</v>
      </c>
      <c r="D448" s="10">
        <v>0.55208331346511841</v>
      </c>
      <c r="E448" s="10">
        <v>0.71875</v>
      </c>
      <c r="F448">
        <v>505</v>
      </c>
    </row>
    <row r="449" spans="1:6" x14ac:dyDescent="0.25">
      <c r="A449">
        <v>449</v>
      </c>
      <c r="B449" t="s">
        <v>468</v>
      </c>
      <c r="C449" s="10">
        <v>0.2604166567325592</v>
      </c>
      <c r="D449" s="10">
        <v>0.3958333432674408</v>
      </c>
      <c r="E449" s="10">
        <v>0.65625</v>
      </c>
      <c r="F449">
        <v>506</v>
      </c>
    </row>
    <row r="450" spans="1:6" x14ac:dyDescent="0.25">
      <c r="A450">
        <v>450</v>
      </c>
      <c r="B450" t="s">
        <v>469</v>
      </c>
      <c r="C450" s="10">
        <v>0.1979166716337204</v>
      </c>
      <c r="D450" s="10">
        <v>0.46875</v>
      </c>
      <c r="E450" s="10">
        <v>0.66666668653488159</v>
      </c>
      <c r="F450">
        <v>507</v>
      </c>
    </row>
    <row r="451" spans="1:6" x14ac:dyDescent="0.25">
      <c r="A451">
        <v>451</v>
      </c>
      <c r="B451" t="s">
        <v>470</v>
      </c>
      <c r="C451" s="10">
        <v>0.2083333283662796</v>
      </c>
      <c r="D451" s="10">
        <v>0.4375</v>
      </c>
      <c r="E451" s="10">
        <v>0.64583331346511841</v>
      </c>
      <c r="F451">
        <v>508</v>
      </c>
    </row>
    <row r="452" spans="1:6" x14ac:dyDescent="0.25">
      <c r="A452">
        <v>452</v>
      </c>
      <c r="B452" t="s">
        <v>471</v>
      </c>
      <c r="C452" s="10">
        <v>0.3125</v>
      </c>
      <c r="D452" s="10">
        <v>0.3958333432674408</v>
      </c>
      <c r="E452" s="10">
        <v>0.70833331346511841</v>
      </c>
      <c r="F452">
        <v>509</v>
      </c>
    </row>
    <row r="453" spans="1:6" x14ac:dyDescent="0.25">
      <c r="A453">
        <v>453</v>
      </c>
      <c r="B453" t="s">
        <v>455</v>
      </c>
      <c r="C453" s="10">
        <v>0.21875</v>
      </c>
      <c r="D453" s="10">
        <v>0.4270833432674408</v>
      </c>
      <c r="E453" s="10">
        <v>0.64583331346511841</v>
      </c>
      <c r="F453">
        <v>510</v>
      </c>
    </row>
    <row r="454" spans="1:6" x14ac:dyDescent="0.25">
      <c r="A454">
        <v>454</v>
      </c>
      <c r="B454" t="s">
        <v>456</v>
      </c>
      <c r="C454" s="10">
        <v>0.1458333283662796</v>
      </c>
      <c r="D454" s="10">
        <v>0.6875</v>
      </c>
      <c r="E454" s="10">
        <v>0.83333331346511841</v>
      </c>
      <c r="F454">
        <v>501</v>
      </c>
    </row>
    <row r="455" spans="1:6" x14ac:dyDescent="0.25">
      <c r="A455">
        <v>455</v>
      </c>
      <c r="B455" t="s">
        <v>472</v>
      </c>
      <c r="C455" s="10">
        <v>0.2083333283662796</v>
      </c>
      <c r="D455" s="10">
        <v>0.4583333432674408</v>
      </c>
      <c r="E455" s="10">
        <v>0.66666668653488159</v>
      </c>
      <c r="F455">
        <v>502</v>
      </c>
    </row>
    <row r="456" spans="1:6" x14ac:dyDescent="0.25">
      <c r="A456">
        <v>456</v>
      </c>
      <c r="B456" t="s">
        <v>473</v>
      </c>
      <c r="C456" s="10">
        <v>0.1458333283662796</v>
      </c>
      <c r="D456" s="10">
        <v>0.3541666567325592</v>
      </c>
      <c r="E456" s="10">
        <v>0.5</v>
      </c>
      <c r="F456">
        <v>503</v>
      </c>
    </row>
    <row r="457" spans="1:6" x14ac:dyDescent="0.25">
      <c r="A457">
        <v>457</v>
      </c>
      <c r="B457" t="s">
        <v>474</v>
      </c>
      <c r="C457" s="10">
        <v>4.1666667908430099E-2</v>
      </c>
      <c r="D457" s="10">
        <v>0.4583333432674408</v>
      </c>
      <c r="E457" s="10">
        <v>0.5</v>
      </c>
      <c r="F457">
        <v>504</v>
      </c>
    </row>
    <row r="458" spans="1:6" x14ac:dyDescent="0.25">
      <c r="A458">
        <v>458</v>
      </c>
      <c r="B458" t="s">
        <v>408</v>
      </c>
      <c r="C458" s="10">
        <v>0.1875</v>
      </c>
      <c r="D458" s="10">
        <v>0.40625</v>
      </c>
      <c r="E458" s="10">
        <v>0.59375</v>
      </c>
      <c r="F458">
        <v>505</v>
      </c>
    </row>
    <row r="459" spans="1:6" x14ac:dyDescent="0.25">
      <c r="A459">
        <v>459</v>
      </c>
      <c r="B459" t="s">
        <v>408</v>
      </c>
      <c r="C459" s="10">
        <v>0.2708333432674408</v>
      </c>
      <c r="D459" s="10">
        <v>0.40625</v>
      </c>
      <c r="E459" s="10">
        <v>0.67708331346511841</v>
      </c>
      <c r="F459">
        <v>506</v>
      </c>
    </row>
    <row r="460" spans="1:6" x14ac:dyDescent="0.25">
      <c r="A460">
        <v>460</v>
      </c>
      <c r="B460" t="s">
        <v>395</v>
      </c>
      <c r="C460" s="10">
        <v>0.1354166716337204</v>
      </c>
      <c r="D460" s="10">
        <v>0.6875</v>
      </c>
      <c r="E460" s="10">
        <v>0.82291668653488159</v>
      </c>
      <c r="F460">
        <v>507</v>
      </c>
    </row>
    <row r="461" spans="1:6" x14ac:dyDescent="0.25">
      <c r="A461">
        <v>461</v>
      </c>
      <c r="B461" t="s">
        <v>475</v>
      </c>
      <c r="C461" s="10">
        <v>0.1041666641831398</v>
      </c>
      <c r="D461" s="10">
        <v>0.875</v>
      </c>
      <c r="E461" s="10">
        <v>0.97916668653488159</v>
      </c>
      <c r="F461">
        <v>508</v>
      </c>
    </row>
    <row r="462" spans="1:6" x14ac:dyDescent="0.25">
      <c r="A462">
        <v>462</v>
      </c>
      <c r="B462" t="s">
        <v>476</v>
      </c>
      <c r="C462" s="10">
        <v>0.1041666641831398</v>
      </c>
      <c r="D462" s="10">
        <v>0.98958331346511841</v>
      </c>
      <c r="E462" s="10">
        <v>9.375E-2</v>
      </c>
      <c r="F462">
        <v>509</v>
      </c>
    </row>
    <row r="463" spans="1:6" x14ac:dyDescent="0.25">
      <c r="A463">
        <v>463</v>
      </c>
      <c r="B463" t="s">
        <v>477</v>
      </c>
      <c r="C463" s="10">
        <v>0.1354166716337204</v>
      </c>
      <c r="D463" s="10">
        <v>0.84375</v>
      </c>
      <c r="E463" s="10">
        <v>0.97916668653488159</v>
      </c>
      <c r="F463">
        <v>510</v>
      </c>
    </row>
    <row r="464" spans="1:6" x14ac:dyDescent="0.25">
      <c r="A464">
        <v>464</v>
      </c>
      <c r="B464" t="s">
        <v>478</v>
      </c>
      <c r="C464" s="10">
        <v>0.1979166716337204</v>
      </c>
      <c r="D464" s="10">
        <v>1.0416666977107525E-2</v>
      </c>
      <c r="E464" s="10">
        <v>0.2083333283662796</v>
      </c>
      <c r="F464">
        <v>501</v>
      </c>
    </row>
    <row r="465" spans="1:6" x14ac:dyDescent="0.25">
      <c r="A465">
        <v>465</v>
      </c>
      <c r="B465" t="s">
        <v>135</v>
      </c>
      <c r="C465" s="10">
        <v>0.1145833358168602</v>
      </c>
      <c r="D465" s="10">
        <v>0.80208331346511841</v>
      </c>
      <c r="E465" s="10">
        <v>0.91666668653488159</v>
      </c>
      <c r="F465">
        <v>502</v>
      </c>
    </row>
    <row r="466" spans="1:6" x14ac:dyDescent="0.25">
      <c r="A466">
        <v>466</v>
      </c>
      <c r="B466" t="s">
        <v>479</v>
      </c>
      <c r="C466" s="10">
        <v>0.1770833283662796</v>
      </c>
      <c r="D466" s="10">
        <v>0.73958331346511841</v>
      </c>
      <c r="E466" s="10">
        <v>0.91666668653488159</v>
      </c>
      <c r="F466">
        <v>503</v>
      </c>
    </row>
    <row r="467" spans="1:6" x14ac:dyDescent="0.25">
      <c r="A467">
        <v>467</v>
      </c>
      <c r="B467" t="s">
        <v>480</v>
      </c>
      <c r="C467" s="10">
        <v>0.1458333283662796</v>
      </c>
      <c r="D467" s="10">
        <v>0.9375</v>
      </c>
      <c r="E467" s="10">
        <v>8.3333335816860199E-2</v>
      </c>
      <c r="F467">
        <v>504</v>
      </c>
    </row>
    <row r="468" spans="1:6" x14ac:dyDescent="0.25">
      <c r="A468">
        <v>468</v>
      </c>
      <c r="B468" t="s">
        <v>477</v>
      </c>
      <c r="C468" s="10">
        <v>0.3125</v>
      </c>
      <c r="D468" s="10">
        <v>0.77083331346511841</v>
      </c>
      <c r="E468" s="10">
        <v>8.3333335816860199E-2</v>
      </c>
      <c r="F468">
        <v>505</v>
      </c>
    </row>
    <row r="469" spans="1:6" x14ac:dyDescent="0.25">
      <c r="A469">
        <v>469</v>
      </c>
      <c r="B469" t="s">
        <v>481</v>
      </c>
      <c r="C469" s="10">
        <v>0.2916666567325592</v>
      </c>
      <c r="D469" s="10">
        <v>0.3333333432674408</v>
      </c>
      <c r="E469" s="10">
        <v>0.625</v>
      </c>
      <c r="F469">
        <v>506</v>
      </c>
    </row>
    <row r="470" spans="1:6" x14ac:dyDescent="0.25">
      <c r="A470">
        <v>470</v>
      </c>
      <c r="B470" t="s">
        <v>480</v>
      </c>
      <c r="C470" s="10">
        <v>0.1770833283662796</v>
      </c>
      <c r="D470" s="10">
        <v>0.875</v>
      </c>
      <c r="E470" s="10">
        <v>5.2083332091569901E-2</v>
      </c>
      <c r="F470">
        <v>507</v>
      </c>
    </row>
    <row r="471" spans="1:6" x14ac:dyDescent="0.25">
      <c r="A471">
        <v>471</v>
      </c>
      <c r="B471" t="s">
        <v>479</v>
      </c>
      <c r="C471" s="10">
        <v>0.1458333283662796</v>
      </c>
      <c r="D471" s="10">
        <v>7.2916664183139801E-2</v>
      </c>
      <c r="E471" s="10">
        <v>0.21875</v>
      </c>
      <c r="F471">
        <v>508</v>
      </c>
    </row>
    <row r="472" spans="1:6" x14ac:dyDescent="0.25">
      <c r="A472">
        <v>472</v>
      </c>
      <c r="B472" t="s">
        <v>482</v>
      </c>
      <c r="C472" s="10">
        <v>0.125</v>
      </c>
      <c r="D472" s="10">
        <v>0.66666668653488159</v>
      </c>
      <c r="E472" s="10">
        <v>0.79166668653488159</v>
      </c>
      <c r="F472">
        <v>509</v>
      </c>
    </row>
    <row r="473" spans="1:6" x14ac:dyDescent="0.25">
      <c r="A473">
        <v>473</v>
      </c>
      <c r="B473" t="s">
        <v>408</v>
      </c>
      <c r="C473" s="10">
        <v>0.1145833358168602</v>
      </c>
      <c r="D473" s="10">
        <v>0.40625</v>
      </c>
      <c r="E473" s="10">
        <v>0.52083331346511841</v>
      </c>
      <c r="F473">
        <v>510</v>
      </c>
    </row>
    <row r="474" spans="1:6" x14ac:dyDescent="0.25">
      <c r="A474">
        <v>474</v>
      </c>
      <c r="B474" t="s">
        <v>483</v>
      </c>
      <c r="C474" s="10">
        <v>0.2083333283662796</v>
      </c>
      <c r="D474" s="10">
        <v>0.84375</v>
      </c>
      <c r="E474" s="10">
        <v>5.2083332091569901E-2</v>
      </c>
      <c r="F474">
        <v>501</v>
      </c>
    </row>
    <row r="475" spans="1:6" x14ac:dyDescent="0.25">
      <c r="A475">
        <v>475</v>
      </c>
      <c r="B475" t="s">
        <v>479</v>
      </c>
      <c r="C475" s="10">
        <v>0.15625</v>
      </c>
      <c r="D475" s="10">
        <v>7.2916664183139801E-2</v>
      </c>
      <c r="E475" s="10">
        <v>0.2291666716337204</v>
      </c>
      <c r="F475">
        <v>502</v>
      </c>
    </row>
    <row r="476" spans="1:6" x14ac:dyDescent="0.25">
      <c r="A476">
        <v>476</v>
      </c>
      <c r="B476" t="s">
        <v>484</v>
      </c>
      <c r="C476" s="10">
        <v>6.25E-2</v>
      </c>
      <c r="D476" s="10">
        <v>0.4375</v>
      </c>
      <c r="E476" s="10">
        <v>0.5</v>
      </c>
      <c r="F476">
        <v>503</v>
      </c>
    </row>
    <row r="477" spans="1:6" x14ac:dyDescent="0.25">
      <c r="A477">
        <v>477</v>
      </c>
      <c r="B477" t="s">
        <v>482</v>
      </c>
      <c r="C477" s="10">
        <v>8.3333335816860199E-2</v>
      </c>
      <c r="D477" s="10">
        <v>0.60416668653488159</v>
      </c>
      <c r="E477" s="10">
        <v>0.6875</v>
      </c>
      <c r="F477">
        <v>504</v>
      </c>
    </row>
    <row r="478" spans="1:6" x14ac:dyDescent="0.25">
      <c r="A478">
        <v>478</v>
      </c>
      <c r="B478" t="s">
        <v>485</v>
      </c>
      <c r="C478" s="10">
        <v>9.375E-2</v>
      </c>
      <c r="D478" s="10">
        <v>0.58333331346511841</v>
      </c>
      <c r="E478" s="10">
        <v>0.67708331346511841</v>
      </c>
      <c r="F478">
        <v>505</v>
      </c>
    </row>
    <row r="479" spans="1:6" x14ac:dyDescent="0.25">
      <c r="A479">
        <v>479</v>
      </c>
      <c r="B479" t="s">
        <v>486</v>
      </c>
      <c r="C479" s="10">
        <v>0.125</v>
      </c>
      <c r="D479" s="10">
        <v>0.3333333432674408</v>
      </c>
      <c r="E479" s="10">
        <v>0.4583333432674408</v>
      </c>
      <c r="F479">
        <v>506</v>
      </c>
    </row>
    <row r="480" spans="1:6" x14ac:dyDescent="0.25">
      <c r="A480">
        <v>480</v>
      </c>
      <c r="B480" t="s">
        <v>487</v>
      </c>
      <c r="C480" s="10">
        <v>0.2604166567325592</v>
      </c>
      <c r="D480" s="10">
        <v>0.2395833283662796</v>
      </c>
      <c r="E480" s="10">
        <v>0.5</v>
      </c>
      <c r="F480">
        <v>507</v>
      </c>
    </row>
    <row r="481" spans="1:6" x14ac:dyDescent="0.25">
      <c r="A481">
        <v>481</v>
      </c>
      <c r="B481" t="s">
        <v>487</v>
      </c>
      <c r="C481" s="10">
        <v>5.2083332091569901E-2</v>
      </c>
      <c r="D481" s="10">
        <v>0.54166668653488159</v>
      </c>
      <c r="E481" s="10">
        <v>0.59375</v>
      </c>
      <c r="F481">
        <v>508</v>
      </c>
    </row>
    <row r="482" spans="1:6" x14ac:dyDescent="0.25">
      <c r="A482">
        <v>482</v>
      </c>
      <c r="B482" t="s">
        <v>488</v>
      </c>
      <c r="C482" s="10">
        <v>0.3333333432674408</v>
      </c>
      <c r="D482" s="10">
        <v>0.2395833283662796</v>
      </c>
      <c r="E482" s="10">
        <v>0.57291668653488159</v>
      </c>
      <c r="F482">
        <v>509</v>
      </c>
    </row>
    <row r="483" spans="1:6" x14ac:dyDescent="0.25">
      <c r="A483">
        <v>483</v>
      </c>
      <c r="B483" t="s">
        <v>482</v>
      </c>
      <c r="C483" s="10">
        <v>7.2916664183139801E-2</v>
      </c>
      <c r="D483" s="10">
        <v>0.71875</v>
      </c>
      <c r="E483" s="10">
        <v>0.79166668653488159</v>
      </c>
      <c r="F483">
        <v>510</v>
      </c>
    </row>
    <row r="484" spans="1:6" x14ac:dyDescent="0.25">
      <c r="A484">
        <v>484</v>
      </c>
      <c r="B484" t="s">
        <v>478</v>
      </c>
      <c r="C484" s="10">
        <v>0.1354166716337204</v>
      </c>
      <c r="D484" s="10">
        <v>0.80208331346511841</v>
      </c>
      <c r="E484" s="10">
        <v>0.9375</v>
      </c>
      <c r="F484">
        <v>501</v>
      </c>
    </row>
    <row r="485" spans="1:6" x14ac:dyDescent="0.25">
      <c r="A485">
        <v>485</v>
      </c>
      <c r="B485" t="s">
        <v>489</v>
      </c>
      <c r="C485" s="10">
        <v>0.2083333283662796</v>
      </c>
      <c r="D485" s="10">
        <v>0.97916668653488159</v>
      </c>
      <c r="E485" s="10">
        <v>0.1875</v>
      </c>
      <c r="F485">
        <v>502</v>
      </c>
    </row>
    <row r="486" spans="1:6" x14ac:dyDescent="0.25">
      <c r="A486">
        <v>486</v>
      </c>
      <c r="B486" t="s">
        <v>490</v>
      </c>
      <c r="C486" s="10">
        <v>8.3333335816860199E-2</v>
      </c>
      <c r="D486" s="10">
        <v>0.2083333283662796</v>
      </c>
      <c r="E486" s="10">
        <v>0.2916666567325592</v>
      </c>
      <c r="F486">
        <v>503</v>
      </c>
    </row>
    <row r="487" spans="1:6" x14ac:dyDescent="0.25">
      <c r="A487">
        <v>487</v>
      </c>
      <c r="B487" t="s">
        <v>491</v>
      </c>
      <c r="C487" s="10">
        <v>0.2916666567325592</v>
      </c>
      <c r="D487" s="10">
        <v>0.55208331346511841</v>
      </c>
      <c r="E487" s="10">
        <v>0.84375</v>
      </c>
      <c r="F487">
        <v>504</v>
      </c>
    </row>
    <row r="488" spans="1:6" x14ac:dyDescent="0.25">
      <c r="A488">
        <v>488</v>
      </c>
      <c r="B488" t="s">
        <v>483</v>
      </c>
      <c r="C488" s="10">
        <v>0.1770833283662796</v>
      </c>
      <c r="D488" s="10">
        <v>0.71875</v>
      </c>
      <c r="E488" s="10">
        <v>0.89583331346511841</v>
      </c>
      <c r="F488">
        <v>505</v>
      </c>
    </row>
    <row r="489" spans="1:6" x14ac:dyDescent="0.25">
      <c r="A489">
        <v>489</v>
      </c>
      <c r="B489" t="s">
        <v>479</v>
      </c>
      <c r="C489" s="10">
        <v>0.1875</v>
      </c>
      <c r="D489" s="10">
        <v>0.91666668653488159</v>
      </c>
      <c r="E489" s="10">
        <v>0.1041666641831398</v>
      </c>
      <c r="F489">
        <v>506</v>
      </c>
    </row>
    <row r="490" spans="1:6" x14ac:dyDescent="0.25">
      <c r="A490">
        <v>490</v>
      </c>
      <c r="B490" t="s">
        <v>492</v>
      </c>
      <c r="C490" s="10">
        <v>4.1666667908430099E-2</v>
      </c>
      <c r="D490" s="10">
        <v>0.97916668653488159</v>
      </c>
      <c r="E490" s="10">
        <v>2.083333395421505E-2</v>
      </c>
      <c r="F490">
        <v>507</v>
      </c>
    </row>
    <row r="491" spans="1:6" x14ac:dyDescent="0.25">
      <c r="A491">
        <v>491</v>
      </c>
      <c r="B491" t="s">
        <v>493</v>
      </c>
      <c r="C491" s="10">
        <v>0.2604166567325592</v>
      </c>
      <c r="D491" s="10">
        <v>0.2916666567325592</v>
      </c>
      <c r="E491" s="10">
        <v>0.55208331346511841</v>
      </c>
      <c r="F491">
        <v>508</v>
      </c>
    </row>
    <row r="492" spans="1:6" x14ac:dyDescent="0.25">
      <c r="A492">
        <v>492</v>
      </c>
      <c r="B492" t="s">
        <v>494</v>
      </c>
      <c r="C492" s="10">
        <v>0.1041666641831398</v>
      </c>
      <c r="D492" s="10">
        <v>6.25E-2</v>
      </c>
      <c r="E492" s="10">
        <v>0.1666666716337204</v>
      </c>
      <c r="F492">
        <v>509</v>
      </c>
    </row>
    <row r="493" spans="1:6" x14ac:dyDescent="0.25">
      <c r="A493">
        <v>493</v>
      </c>
      <c r="B493" t="s">
        <v>490</v>
      </c>
      <c r="C493" s="10">
        <v>0.1770833283662796</v>
      </c>
      <c r="D493" s="10">
        <v>0.1666666716337204</v>
      </c>
      <c r="E493" s="10">
        <v>0.34375</v>
      </c>
      <c r="F493">
        <v>510</v>
      </c>
    </row>
    <row r="494" spans="1:6" x14ac:dyDescent="0.25">
      <c r="A494">
        <v>494</v>
      </c>
      <c r="B494" t="s">
        <v>495</v>
      </c>
      <c r="C494" s="10">
        <v>0.1666666716337204</v>
      </c>
      <c r="D494" s="10">
        <v>0.375</v>
      </c>
      <c r="E494" s="10">
        <v>0.54166668653488159</v>
      </c>
      <c r="F494">
        <v>501</v>
      </c>
    </row>
    <row r="495" spans="1:6" x14ac:dyDescent="0.25">
      <c r="A495">
        <v>495</v>
      </c>
      <c r="B495" t="s">
        <v>403</v>
      </c>
      <c r="C495" s="10">
        <v>0.1875</v>
      </c>
      <c r="D495" s="10">
        <v>0.54166668653488159</v>
      </c>
      <c r="E495" s="10">
        <v>0.72916668653488159</v>
      </c>
      <c r="F495">
        <v>502</v>
      </c>
    </row>
    <row r="496" spans="1:6" x14ac:dyDescent="0.25">
      <c r="A496">
        <v>496</v>
      </c>
      <c r="B496" t="s">
        <v>485</v>
      </c>
      <c r="C496" s="10">
        <v>0.1354166716337204</v>
      </c>
      <c r="D496" s="10">
        <v>0.59375</v>
      </c>
      <c r="E496" s="10">
        <v>0.72916668653488159</v>
      </c>
      <c r="F496">
        <v>503</v>
      </c>
    </row>
    <row r="497" spans="1:6" x14ac:dyDescent="0.25">
      <c r="A497">
        <v>497</v>
      </c>
      <c r="B497" t="s">
        <v>180</v>
      </c>
      <c r="C497" s="10">
        <v>6.25E-2</v>
      </c>
      <c r="D497" s="10">
        <v>0.70833331346511841</v>
      </c>
      <c r="E497" s="10">
        <v>0.77083331346511841</v>
      </c>
      <c r="F497">
        <v>504</v>
      </c>
    </row>
    <row r="498" spans="1:6" x14ac:dyDescent="0.25">
      <c r="A498">
        <v>498</v>
      </c>
      <c r="B498" t="s">
        <v>496</v>
      </c>
      <c r="C498" s="10">
        <v>0.1145833358168602</v>
      </c>
      <c r="D498" s="10">
        <v>0.85416668653488159</v>
      </c>
      <c r="E498" s="10">
        <v>0.96875</v>
      </c>
      <c r="F498">
        <v>505</v>
      </c>
    </row>
    <row r="499" spans="1:6" x14ac:dyDescent="0.25">
      <c r="A499">
        <v>499</v>
      </c>
      <c r="B499" t="s">
        <v>476</v>
      </c>
      <c r="C499" s="10">
        <v>0.1041666641831398</v>
      </c>
      <c r="D499" s="10">
        <v>0.97916668653488159</v>
      </c>
      <c r="E499" s="10">
        <v>8.3333335816860199E-2</v>
      </c>
      <c r="F499">
        <v>506</v>
      </c>
    </row>
    <row r="500" spans="1:6" x14ac:dyDescent="0.25">
      <c r="A500">
        <v>500</v>
      </c>
      <c r="B500" t="s">
        <v>497</v>
      </c>
      <c r="C500" s="10">
        <v>0.2604166567325592</v>
      </c>
      <c r="D500" s="10">
        <v>0.4375</v>
      </c>
      <c r="E500" s="10">
        <v>0.69791668653488159</v>
      </c>
      <c r="F500">
        <v>507</v>
      </c>
    </row>
    <row r="501" spans="1:6" x14ac:dyDescent="0.25">
      <c r="A501">
        <v>501</v>
      </c>
      <c r="B501" t="s">
        <v>498</v>
      </c>
      <c r="C501" s="10">
        <v>7.2916664183139801E-2</v>
      </c>
      <c r="D501" s="10">
        <v>0.71875</v>
      </c>
      <c r="E501" s="10">
        <v>0.79166668653488159</v>
      </c>
      <c r="F501">
        <v>508</v>
      </c>
    </row>
    <row r="502" spans="1:6" x14ac:dyDescent="0.25">
      <c r="A502">
        <v>502</v>
      </c>
      <c r="B502" t="s">
        <v>497</v>
      </c>
      <c r="C502" s="10">
        <v>0.2604166567325592</v>
      </c>
      <c r="D502" s="10">
        <v>0.4375</v>
      </c>
      <c r="E502" s="10">
        <v>0.69791668653488159</v>
      </c>
      <c r="F502">
        <v>509</v>
      </c>
    </row>
    <row r="503" spans="1:6" x14ac:dyDescent="0.25">
      <c r="A503">
        <v>503</v>
      </c>
      <c r="B503" t="s">
        <v>499</v>
      </c>
      <c r="C503" s="10">
        <v>0.4166666567325592</v>
      </c>
      <c r="D503" s="10">
        <v>0.3958333432674408</v>
      </c>
      <c r="E503" s="10">
        <v>0.8125</v>
      </c>
      <c r="F503">
        <v>510</v>
      </c>
    </row>
    <row r="504" spans="1:6" x14ac:dyDescent="0.25">
      <c r="A504">
        <v>504</v>
      </c>
      <c r="B504" t="s">
        <v>500</v>
      </c>
      <c r="C504" s="10">
        <v>0.1770833283662796</v>
      </c>
      <c r="D504" s="10">
        <v>0.52083331346511841</v>
      </c>
      <c r="E504" s="10">
        <v>0.69791668653488159</v>
      </c>
      <c r="F504">
        <v>501</v>
      </c>
    </row>
    <row r="505" spans="1:6" x14ac:dyDescent="0.25">
      <c r="A505">
        <v>505</v>
      </c>
      <c r="B505" t="s">
        <v>482</v>
      </c>
      <c r="C505" s="10">
        <v>7.2916664183139801E-2</v>
      </c>
      <c r="D505" s="10">
        <v>0.71875</v>
      </c>
      <c r="E505" s="10">
        <v>0.79166668653488159</v>
      </c>
      <c r="F505">
        <v>502</v>
      </c>
    </row>
    <row r="506" spans="1:6" x14ac:dyDescent="0.25">
      <c r="A506">
        <v>506</v>
      </c>
      <c r="B506" t="s">
        <v>121</v>
      </c>
      <c r="C506" s="10">
        <v>0.25</v>
      </c>
      <c r="D506" s="10">
        <v>0.4375</v>
      </c>
      <c r="E506" s="10">
        <v>0.6875</v>
      </c>
      <c r="F506">
        <v>503</v>
      </c>
    </row>
    <row r="507" spans="1:6" x14ac:dyDescent="0.25">
      <c r="A507">
        <v>507</v>
      </c>
      <c r="B507" t="s">
        <v>102</v>
      </c>
      <c r="C507" s="10">
        <v>0.1041666641831398</v>
      </c>
      <c r="D507" s="10">
        <v>0.6875</v>
      </c>
      <c r="E507" s="10">
        <v>0.79166668653488159</v>
      </c>
      <c r="F507">
        <v>504</v>
      </c>
    </row>
    <row r="508" spans="1:6" x14ac:dyDescent="0.25">
      <c r="A508">
        <v>508</v>
      </c>
      <c r="B508" t="s">
        <v>210</v>
      </c>
      <c r="C508" s="10">
        <v>6.25E-2</v>
      </c>
      <c r="D508" s="10">
        <v>0.72916668653488159</v>
      </c>
      <c r="E508" s="10">
        <v>0.79166668653488159</v>
      </c>
      <c r="F508">
        <v>505</v>
      </c>
    </row>
    <row r="509" spans="1:6" x14ac:dyDescent="0.25">
      <c r="A509">
        <v>509</v>
      </c>
      <c r="B509" t="s">
        <v>501</v>
      </c>
      <c r="C509" s="10">
        <v>0.1875</v>
      </c>
      <c r="D509" s="10">
        <v>0.4166666567325592</v>
      </c>
      <c r="E509" s="10">
        <v>0.60416668653488159</v>
      </c>
      <c r="F509">
        <v>506</v>
      </c>
    </row>
    <row r="510" spans="1:6" x14ac:dyDescent="0.25">
      <c r="A510">
        <v>510</v>
      </c>
      <c r="B510" t="s">
        <v>162</v>
      </c>
      <c r="C510" s="10">
        <v>0.1875</v>
      </c>
      <c r="D510" s="10">
        <v>0.52083331346511841</v>
      </c>
      <c r="E510" s="10">
        <v>0.70833331346511841</v>
      </c>
      <c r="F510">
        <v>507</v>
      </c>
    </row>
    <row r="511" spans="1:6" x14ac:dyDescent="0.25">
      <c r="A511">
        <v>511</v>
      </c>
      <c r="B511" t="s">
        <v>502</v>
      </c>
      <c r="C511" s="10">
        <v>0.2708333432674408</v>
      </c>
      <c r="D511" s="10">
        <v>0.52083331346511841</v>
      </c>
      <c r="E511" s="10">
        <v>0.79166668653488159</v>
      </c>
      <c r="F511">
        <v>508</v>
      </c>
    </row>
    <row r="512" spans="1:6" x14ac:dyDescent="0.25">
      <c r="A512">
        <v>514</v>
      </c>
      <c r="B512" t="s">
        <v>514</v>
      </c>
      <c r="C512" s="10">
        <v>4.1666667908430099E-2</v>
      </c>
      <c r="D512" s="10">
        <v>0.95833331346511841</v>
      </c>
      <c r="E512" s="10">
        <v>0</v>
      </c>
      <c r="F512">
        <v>509</v>
      </c>
    </row>
    <row r="513" spans="1:6" x14ac:dyDescent="0.25">
      <c r="A513">
        <v>515</v>
      </c>
      <c r="B513" t="s">
        <v>515</v>
      </c>
      <c r="C513" s="10">
        <v>0.3333333432674408</v>
      </c>
      <c r="D513" s="10">
        <v>0.3333333432674408</v>
      </c>
      <c r="E513" s="10">
        <v>0.66666668653488159</v>
      </c>
      <c r="F513">
        <v>504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CFED031A-8398-4705-8957-BB8E3F38B75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Planning au mois</vt:lpstr>
      <vt:lpstr>Calendrier</vt:lpstr>
      <vt:lpstr>Modele</vt:lpstr>
      <vt:lpstr>ListeChauffeur</vt:lpstr>
      <vt:lpstr>ListeTournées</vt:lpstr>
      <vt:lpstr>Modele!an</vt:lpstr>
      <vt:lpstr>Calendar1Month</vt:lpstr>
      <vt:lpstr>Calendar1Year</vt:lpstr>
      <vt:lpstr>Modele!semn</vt:lpstr>
      <vt:lpstr>WeekStart</vt:lpstr>
      <vt:lpstr>Modele!Zone_d_impression</vt:lpstr>
      <vt:lpstr>'Planning au mois'!Zone_d_impression</vt:lpstr>
    </vt:vector>
  </TitlesOfParts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>Jérémy</cp:lastModifiedBy>
  <cp:lastPrinted>2014-11-27T06:22:54Z</cp:lastPrinted>
  <dcterms:created xsi:type="dcterms:W3CDTF">2014-11-09T10:13:05Z</dcterms:created>
  <dcterms:modified xsi:type="dcterms:W3CDTF">2014-12-04T21:06:56Z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TC028973769991</vt:lpwstr>
  </property>
</Properties>
</file>